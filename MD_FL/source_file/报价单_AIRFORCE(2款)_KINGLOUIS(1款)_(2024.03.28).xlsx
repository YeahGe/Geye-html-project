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/>
  </bookViews>
  <sheets>
    <sheet name="格式_汇总" sheetId="2" r:id="rId1"/>
    <sheet name="格式_款号(报价单号)" sheetId="7" r:id="rId2"/>
    <sheet name="汇总" sheetId="6" r:id="rId3"/>
    <sheet name="0995(BJD24030007)" sheetId="3" r:id="rId4"/>
    <sheet name="0998(BJD24030008)" sheetId="8" r:id="rId5"/>
    <sheet name="0995(BJD24030009)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209F725665544D6BED45DB3EEA9F5C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597275" y="1293495"/>
          <a:ext cx="996950" cy="7245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24664964365E4F34A7FC6A97FB19B26A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564255" y="1962785"/>
          <a:ext cx="1016635" cy="739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1E1A9E32E1C048FE9248505E23DA067F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91100" y="344805"/>
          <a:ext cx="1402080" cy="102108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<sst xmlns="http://schemas.openxmlformats.org/spreadsheetml/2006/main" count="568" uniqueCount="154">
  <si>
    <t>{数据字典：system_config_COMPANY_NAME}</t>
  </si>
  <si>
    <t>客户：</t>
  </si>
  <si>
    <r>
      <rPr>
        <b/>
        <sz val="14"/>
        <color theme="4"/>
        <rFont val="微软雅黑"/>
        <charset val="134"/>
      </rPr>
      <t xml:space="preserve">{ </t>
    </r>
    <r>
      <rPr>
        <b/>
        <sz val="14"/>
        <color theme="1"/>
        <rFont val="微软雅黑"/>
        <charset val="134"/>
      </rPr>
      <t xml:space="preserve">这些报价单的客户名称 </t>
    </r>
    <r>
      <rPr>
        <b/>
        <sz val="14"/>
        <color theme="4" tint="-0.25"/>
        <rFont val="微软雅黑"/>
        <charset val="134"/>
      </rPr>
      <t>}</t>
    </r>
  </si>
  <si>
    <t>编号</t>
  </si>
  <si>
    <t>款号</t>
  </si>
  <si>
    <t>款式名称</t>
  </si>
  <si>
    <t>图片/PIC</t>
  </si>
  <si>
    <t xml:space="preserve">预计订单数量 </t>
  </si>
  <si>
    <t>报价日期</t>
  </si>
  <si>
    <t>最终报价</t>
  </si>
  <si>
    <t>备注</t>
  </si>
  <si>
    <r>
      <t xml:space="preserve">{ </t>
    </r>
    <r>
      <rPr>
        <b/>
        <sz val="10"/>
        <color theme="1"/>
        <rFont val="微软雅黑"/>
        <charset val="134"/>
      </rPr>
      <t xml:space="preserve">该客户下报价单的递增序号 </t>
    </r>
    <r>
      <rPr>
        <b/>
        <sz val="10"/>
        <color theme="4" tint="-0.25"/>
        <rFont val="微软雅黑"/>
        <charset val="134"/>
      </rPr>
      <t>}</t>
    </r>
  </si>
  <si>
    <r>
      <t xml:space="preserve">{ </t>
    </r>
    <r>
      <rPr>
        <b/>
        <sz val="10"/>
        <color theme="1"/>
        <rFont val="微软雅黑"/>
        <charset val="134"/>
      </rPr>
      <t xml:space="preserve">款号 </t>
    </r>
    <r>
      <rPr>
        <b/>
        <sz val="10"/>
        <color theme="4" tint="-0.25"/>
        <rFont val="微软雅黑"/>
        <charset val="134"/>
      </rPr>
      <t>}</t>
    </r>
  </si>
  <si>
    <r>
      <t xml:space="preserve">{ </t>
    </r>
    <r>
      <rPr>
        <b/>
        <sz val="10"/>
        <color theme="1"/>
        <rFont val="微软雅黑"/>
        <charset val="134"/>
      </rPr>
      <t xml:space="preserve">款名 </t>
    </r>
    <r>
      <rPr>
        <b/>
        <sz val="10"/>
        <color theme="4" tint="-0.25"/>
        <rFont val="微软雅黑"/>
        <charset val="134"/>
      </rPr>
      <t>}</t>
    </r>
  </si>
  <si>
    <r>
      <t xml:space="preserve">{ </t>
    </r>
    <r>
      <rPr>
        <b/>
        <sz val="10"/>
        <color theme="1"/>
        <rFont val="微软雅黑"/>
        <charset val="134"/>
      </rPr>
      <t xml:space="preserve">款式的第一张图片 </t>
    </r>
    <r>
      <rPr>
        <b/>
        <sz val="10"/>
        <color theme="4" tint="-0.25"/>
        <rFont val="微软雅黑"/>
        <charset val="134"/>
      </rPr>
      <t>}</t>
    </r>
  </si>
  <si>
    <r>
      <t xml:space="preserve">{ </t>
    </r>
    <r>
      <rPr>
        <b/>
        <sz val="10"/>
        <color theme="1"/>
        <rFont val="微软雅黑"/>
        <charset val="134"/>
      </rPr>
      <t xml:space="preserve">最少件数 </t>
    </r>
    <r>
      <rPr>
        <b/>
        <sz val="10"/>
        <color theme="4" tint="-0.25"/>
        <rFont val="微软雅黑"/>
        <charset val="134"/>
      </rPr>
      <t xml:space="preserve">}{ </t>
    </r>
    <r>
      <rPr>
        <b/>
        <sz val="10"/>
        <color theme="1"/>
        <rFont val="微软雅黑"/>
        <charset val="134"/>
      </rPr>
      <t>款号单位</t>
    </r>
    <r>
      <rPr>
        <b/>
        <sz val="10"/>
        <color theme="4" tint="-0.25"/>
        <rFont val="微软雅黑"/>
        <charset val="134"/>
      </rPr>
      <t xml:space="preserve"> }</t>
    </r>
  </si>
  <si>
    <r>
      <t xml:space="preserve">{ </t>
    </r>
    <r>
      <rPr>
        <b/>
        <sz val="10"/>
        <color theme="1"/>
        <rFont val="微软雅黑"/>
        <charset val="134"/>
      </rPr>
      <t xml:space="preserve">报价日期 </t>
    </r>
    <r>
      <rPr>
        <b/>
        <sz val="10"/>
        <color theme="4" tint="-0.25"/>
        <rFont val="微软雅黑"/>
        <charset val="134"/>
      </rPr>
      <t>}</t>
    </r>
  </si>
  <si>
    <r>
      <t>￥</t>
    </r>
    <r>
      <rPr>
        <b/>
        <sz val="10"/>
        <color theme="4"/>
        <rFont val="微软雅黑"/>
        <charset val="134"/>
      </rPr>
      <t xml:space="preserve">{ </t>
    </r>
    <r>
      <rPr>
        <b/>
        <sz val="10"/>
        <color theme="1"/>
        <rFont val="微软雅黑"/>
        <charset val="134"/>
      </rPr>
      <t xml:space="preserve">最终报价 </t>
    </r>
    <r>
      <rPr>
        <b/>
        <sz val="10"/>
        <color theme="4" tint="-0.25"/>
        <rFont val="微软雅黑"/>
        <charset val="134"/>
      </rPr>
      <t>}</t>
    </r>
  </si>
  <si>
    <t xml:space="preserve">
1. 填充物：新国标90%鹅绒-国标18cm，M码充绒量315G 
2. 报价不含检测费                                       3、报价不含商洗吊
4. 报价含运输， 及 13%税                         </t>
  </si>
  <si>
    <t xml:space="preserve">1. 填充物：新国标90%鹅绒-国标18cm，M码充绒量227G 
2. 报价不含检测费                                       3、报价不含商洗吊
4. 报价含运输， 及 13%税            </t>
  </si>
  <si>
    <t>报价单明细表</t>
  </si>
  <si>
    <t>报价单号</t>
  </si>
  <si>
    <r>
      <rPr>
        <b/>
        <sz val="10"/>
        <color theme="4"/>
        <rFont val="微软雅黑"/>
        <charset val="134"/>
      </rPr>
      <t xml:space="preserve">{ </t>
    </r>
    <r>
      <rPr>
        <b/>
        <sz val="10"/>
        <color theme="1"/>
        <rFont val="微软雅黑"/>
        <charset val="134"/>
      </rPr>
      <t xml:space="preserve">报价单号 </t>
    </r>
    <r>
      <rPr>
        <b/>
        <sz val="10"/>
        <color theme="4" tint="-0.25"/>
        <rFont val="微软雅黑"/>
        <charset val="134"/>
      </rPr>
      <t>}</t>
    </r>
  </si>
  <si>
    <r>
      <rPr>
        <b/>
        <sz val="10"/>
        <color theme="4"/>
        <rFont val="微软雅黑"/>
        <charset val="134"/>
      </rPr>
      <t xml:space="preserve">{ </t>
    </r>
    <r>
      <rPr>
        <b/>
        <sz val="10"/>
        <color theme="1"/>
        <rFont val="微软雅黑"/>
        <charset val="134"/>
      </rPr>
      <t xml:space="preserve">报价日期 </t>
    </r>
    <r>
      <rPr>
        <b/>
        <sz val="10"/>
        <color theme="4" tint="-0.25"/>
        <rFont val="微软雅黑"/>
        <charset val="134"/>
      </rPr>
      <t>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</si>
  <si>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款式的第一张图片</t>
    </r>
    <r>
      <rPr>
        <b/>
        <sz val="10.5"/>
        <color theme="4" tint="-0.25"/>
        <rFont val="宋体"/>
        <charset val="134"/>
      </rPr>
      <t xml:space="preserve"> }</t>
    </r>
  </si>
  <si>
    <r>
      <rPr>
        <b/>
        <sz val="10"/>
        <color theme="4"/>
        <rFont val="微软雅黑"/>
        <charset val="134"/>
      </rPr>
      <t xml:space="preserve">{ </t>
    </r>
    <r>
      <rPr>
        <b/>
        <sz val="10"/>
        <color theme="1"/>
        <rFont val="微软雅黑"/>
        <charset val="134"/>
      </rPr>
      <t xml:space="preserve">款号 </t>
    </r>
    <r>
      <rPr>
        <b/>
        <sz val="10"/>
        <color theme="4" tint="-0.25"/>
        <rFont val="微软雅黑"/>
        <charset val="134"/>
      </rPr>
      <t>}</t>
    </r>
  </si>
  <si>
    <t>报价人</t>
  </si>
  <si>
    <r>
      <rPr>
        <b/>
        <sz val="10"/>
        <color theme="4"/>
        <rFont val="微软雅黑"/>
        <charset val="134"/>
      </rPr>
      <t xml:space="preserve">{ </t>
    </r>
    <r>
      <rPr>
        <b/>
        <sz val="10"/>
        <color theme="1"/>
        <rFont val="微软雅黑"/>
        <charset val="134"/>
      </rPr>
      <t xml:space="preserve">业务员 </t>
    </r>
    <r>
      <rPr>
        <b/>
        <sz val="10"/>
        <color theme="4" tint="-0.25"/>
        <rFont val="微软雅黑"/>
        <charset val="134"/>
      </rPr>
      <t>}</t>
    </r>
  </si>
  <si>
    <t>款名</t>
  </si>
  <si>
    <r>
      <rPr>
        <b/>
        <sz val="10"/>
        <color theme="4"/>
        <rFont val="微软雅黑"/>
        <charset val="134"/>
      </rPr>
      <t xml:space="preserve">{ </t>
    </r>
    <r>
      <rPr>
        <b/>
        <sz val="10"/>
        <color theme="1"/>
        <rFont val="微软雅黑"/>
        <charset val="134"/>
      </rPr>
      <t xml:space="preserve">款名 </t>
    </r>
    <r>
      <rPr>
        <b/>
        <sz val="10"/>
        <color theme="4" tint="-0.25"/>
        <rFont val="微软雅黑"/>
        <charset val="134"/>
      </rPr>
      <t>}</t>
    </r>
  </si>
  <si>
    <t>客户</t>
  </si>
  <si>
    <r>
      <rPr>
        <b/>
        <sz val="10"/>
        <color theme="4"/>
        <rFont val="微软雅黑"/>
        <charset val="134"/>
      </rPr>
      <t xml:space="preserve">{ </t>
    </r>
    <r>
      <rPr>
        <b/>
        <sz val="10"/>
        <color theme="1"/>
        <rFont val="微软雅黑"/>
        <charset val="134"/>
      </rPr>
      <t xml:space="preserve">客户 </t>
    </r>
    <r>
      <rPr>
        <b/>
        <sz val="10"/>
        <color theme="4" tint="-0.25"/>
        <rFont val="微软雅黑"/>
        <charset val="134"/>
      </rPr>
      <t>}</t>
    </r>
  </si>
  <si>
    <t>颜色</t>
  </si>
  <si>
    <r>
      <rPr>
        <b/>
        <sz val="10"/>
        <color theme="4"/>
        <rFont val="微软雅黑"/>
        <charset val="134"/>
      </rPr>
      <t xml:space="preserve">{ </t>
    </r>
    <r>
      <rPr>
        <b/>
        <sz val="10"/>
        <color theme="1"/>
        <rFont val="微软雅黑"/>
        <charset val="134"/>
      </rPr>
      <t xml:space="preserve">报价颜色 </t>
    </r>
    <r>
      <rPr>
        <b/>
        <sz val="10"/>
        <color theme="4" tint="-0.25"/>
        <rFont val="微软雅黑"/>
        <charset val="134"/>
      </rPr>
      <t>}</t>
    </r>
  </si>
  <si>
    <t>报价尺码</t>
  </si>
  <si>
    <r>
      <rPr>
        <b/>
        <sz val="10"/>
        <color theme="4"/>
        <rFont val="微软雅黑"/>
        <charset val="134"/>
      </rPr>
      <t xml:space="preserve">{ </t>
    </r>
    <r>
      <rPr>
        <b/>
        <sz val="10"/>
        <color theme="1"/>
        <rFont val="微软雅黑"/>
        <charset val="134"/>
      </rPr>
      <t xml:space="preserve">报价尺码 </t>
    </r>
    <r>
      <rPr>
        <b/>
        <sz val="10"/>
        <color theme="4" tint="-0.25"/>
        <rFont val="微软雅黑"/>
        <charset val="134"/>
      </rPr>
      <t>}</t>
    </r>
  </si>
  <si>
    <r>
      <rPr>
        <b/>
        <sz val="10"/>
        <color theme="4"/>
        <rFont val="微软雅黑"/>
        <charset val="134"/>
      </rPr>
      <t xml:space="preserve">{ </t>
    </r>
    <r>
      <rPr>
        <b/>
        <sz val="10"/>
        <color theme="1"/>
        <rFont val="微软雅黑"/>
        <charset val="134"/>
      </rPr>
      <t>报价备注</t>
    </r>
    <r>
      <rPr>
        <b/>
        <sz val="10"/>
        <color theme="4"/>
        <rFont val="微软雅黑"/>
        <charset val="134"/>
      </rPr>
      <t xml:space="preserve"> }</t>
    </r>
  </si>
  <si>
    <t>面料清单</t>
  </si>
  <si>
    <t>序号</t>
  </si>
  <si>
    <t>物料名称</t>
  </si>
  <si>
    <t>门幅/规格</t>
  </si>
  <si>
    <t>单耗</t>
  </si>
  <si>
    <t>单价</t>
  </si>
  <si>
    <t>总计</t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</si>
  <si>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面料清单：序号</t>
    </r>
    <r>
      <rPr>
        <b/>
        <sz val="10.5"/>
        <color theme="4" tint="-0.25"/>
        <rFont val="宋体"/>
        <charset val="134"/>
      </rPr>
      <t xml:space="preserve"> 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</si>
  <si>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面料清单：物料名称</t>
    </r>
    <r>
      <rPr>
        <b/>
        <sz val="10.5"/>
        <color theme="4" tint="-0.25"/>
        <rFont val="宋体"/>
        <charset val="134"/>
      </rPr>
      <t xml:space="preserve"> 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</si>
  <si>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面料清单：门幅/规格</t>
    </r>
    <r>
      <rPr>
        <b/>
        <sz val="10.5"/>
        <color theme="4" tint="-0.25"/>
        <rFont val="宋体"/>
        <charset val="134"/>
      </rPr>
      <t xml:space="preserve"> 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</si>
  <si>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面料清单：报价单耗</t>
    </r>
    <r>
      <rPr>
        <b/>
        <sz val="10.5"/>
        <color theme="4" tint="-0.25"/>
        <rFont val="宋体"/>
        <charset val="134"/>
      </rPr>
      <t xml:space="preserve"> 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</si>
  <si>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面料清单：报价单价</t>
    </r>
    <r>
      <rPr>
        <b/>
        <sz val="10.5"/>
        <color theme="4" tint="-0.25"/>
        <rFont val="宋体"/>
        <charset val="134"/>
      </rPr>
      <t xml:space="preserve"> 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</si>
  <si>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面料清单：报价总计</t>
    </r>
    <r>
      <rPr>
        <b/>
        <sz val="10.5"/>
        <color theme="4" tint="-0.25"/>
        <rFont val="宋体"/>
        <charset val="134"/>
      </rPr>
      <t xml:space="preserve"> 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</si>
  <si>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面料清单：备注</t>
    </r>
    <r>
      <rPr>
        <b/>
        <sz val="10.5"/>
        <color theme="4" tint="-0.25"/>
        <rFont val="宋体"/>
        <charset val="134"/>
      </rPr>
      <t xml:space="preserve"> }</t>
    </r>
  </si>
  <si>
    <t>合计</t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</si>
  <si>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面料清单：Σ报价总计</t>
    </r>
    <r>
      <rPr>
        <b/>
        <sz val="10.5"/>
        <color theme="4" tint="-0.25"/>
        <rFont val="宋体"/>
        <charset val="134"/>
      </rPr>
      <t xml:space="preserve"> }</t>
    </r>
  </si>
  <si>
    <t>辅料清单</t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</si>
  <si>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 xml:space="preserve">辅料清单：序号 </t>
    </r>
    <r>
      <rPr>
        <b/>
        <sz val="10.5"/>
        <color theme="4" tint="-0.25"/>
        <rFont val="宋体"/>
        <charset val="134"/>
      </rPr>
      <t>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</si>
  <si>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辅料清单：物料名称</t>
    </r>
    <r>
      <rPr>
        <b/>
        <sz val="10.5"/>
        <color theme="4" tint="-0.25"/>
        <rFont val="宋体"/>
        <charset val="134"/>
      </rPr>
      <t xml:space="preserve"> 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</si>
  <si>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辅料清单：门幅/规格</t>
    </r>
    <r>
      <rPr>
        <b/>
        <sz val="10.5"/>
        <color theme="4" tint="-0.25"/>
        <rFont val="宋体"/>
        <charset val="134"/>
      </rPr>
      <t xml:space="preserve"> 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</si>
  <si>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辅料清单：报价单耗</t>
    </r>
    <r>
      <rPr>
        <b/>
        <sz val="10.5"/>
        <color theme="4" tint="-0.25"/>
        <rFont val="宋体"/>
        <charset val="134"/>
      </rPr>
      <t xml:space="preserve"> 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</si>
  <si>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辅料清单：报价单价</t>
    </r>
    <r>
      <rPr>
        <b/>
        <sz val="10.5"/>
        <color theme="4" tint="-0.25"/>
        <rFont val="宋体"/>
        <charset val="134"/>
      </rPr>
      <t xml:space="preserve"> 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</si>
  <si>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辅料清单：报价总计</t>
    </r>
    <r>
      <rPr>
        <b/>
        <sz val="10.5"/>
        <color theme="4" tint="-0.25"/>
        <rFont val="宋体"/>
        <charset val="134"/>
      </rPr>
      <t xml:space="preserve"> 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</si>
  <si>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辅料清单：备注</t>
    </r>
    <r>
      <rPr>
        <b/>
        <sz val="10.5"/>
        <color theme="4" tint="-0.25"/>
        <rFont val="宋体"/>
        <charset val="134"/>
      </rPr>
      <t xml:space="preserve"> 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</si>
  <si>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辅料清单：Σ报价总计</t>
    </r>
    <r>
      <rPr>
        <b/>
        <sz val="10.5"/>
        <color theme="4" tint="-0.25"/>
        <rFont val="宋体"/>
        <charset val="134"/>
      </rPr>
      <t xml:space="preserve"> }</t>
    </r>
  </si>
  <si>
    <t>包材清单</t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</si>
  <si>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 xml:space="preserve">包装清单：序号 </t>
    </r>
    <r>
      <rPr>
        <b/>
        <sz val="10.5"/>
        <color theme="4" tint="-0.25"/>
        <rFont val="宋体"/>
        <charset val="134"/>
      </rPr>
      <t>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</si>
  <si>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包装清单：物料名称</t>
    </r>
    <r>
      <rPr>
        <b/>
        <sz val="10.5"/>
        <color theme="4" tint="-0.25"/>
        <rFont val="宋体"/>
        <charset val="134"/>
      </rPr>
      <t xml:space="preserve"> 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</si>
  <si>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包装清单：门幅/规格</t>
    </r>
    <r>
      <rPr>
        <b/>
        <sz val="10.5"/>
        <color theme="4" tint="-0.25"/>
        <rFont val="宋体"/>
        <charset val="134"/>
      </rPr>
      <t xml:space="preserve"> 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</si>
  <si>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包装清单：报价单耗</t>
    </r>
    <r>
      <rPr>
        <b/>
        <sz val="10.5"/>
        <color theme="4" tint="-0.25"/>
        <rFont val="宋体"/>
        <charset val="134"/>
      </rPr>
      <t xml:space="preserve"> 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</si>
  <si>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包装清单：报价单价</t>
    </r>
    <r>
      <rPr>
        <b/>
        <sz val="10.5"/>
        <color theme="4" tint="-0.25"/>
        <rFont val="宋体"/>
        <charset val="134"/>
      </rPr>
      <t xml:space="preserve"> 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</si>
  <si>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包装清单：报价总计</t>
    </r>
    <r>
      <rPr>
        <b/>
        <sz val="10.5"/>
        <color theme="4" tint="-0.25"/>
        <rFont val="宋体"/>
        <charset val="134"/>
      </rPr>
      <t xml:space="preserve"> 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</si>
  <si>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包装清单：备注</t>
    </r>
    <r>
      <rPr>
        <b/>
        <sz val="10.5"/>
        <color theme="4" tint="-0.25"/>
        <rFont val="宋体"/>
        <charset val="134"/>
      </rPr>
      <t xml:space="preserve"> 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</si>
  <si>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包装清单：Σ报价总计</t>
    </r>
    <r>
      <rPr>
        <b/>
        <sz val="10.5"/>
        <color theme="4" tint="-0.25"/>
        <rFont val="宋体"/>
        <charset val="134"/>
      </rPr>
      <t xml:space="preserve"> }</t>
    </r>
  </si>
  <si>
    <t>加工清单</t>
  </si>
  <si>
    <t>工序名称</t>
  </si>
  <si>
    <r>
      <rPr>
        <b/>
        <sz val="10.5"/>
        <color theme="1"/>
        <rFont val="Calibri"/>
        <charset val="134"/>
      </rPr>
      <t>GST</t>
    </r>
    <r>
      <rPr>
        <b/>
        <sz val="10.5"/>
        <color theme="1"/>
        <rFont val="宋体"/>
        <charset val="134"/>
      </rPr>
      <t>预估工时</t>
    </r>
  </si>
  <si>
    <t>报价工价</t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</si>
  <si>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 xml:space="preserve">加工清单：序号 </t>
    </r>
    <r>
      <rPr>
        <b/>
        <sz val="10.5"/>
        <color theme="4" tint="-0.25"/>
        <rFont val="宋体"/>
        <charset val="134"/>
      </rPr>
      <t>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</si>
  <si>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 xml:space="preserve">加工清单：工序名称 </t>
    </r>
    <r>
      <rPr>
        <b/>
        <sz val="10.5"/>
        <color theme="4" tint="-0.25"/>
        <rFont val="宋体"/>
        <charset val="134"/>
      </rPr>
      <t>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</si>
  <si>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 xml:space="preserve">加工清单：GST预估工时 </t>
    </r>
    <r>
      <rPr>
        <b/>
        <sz val="10.5"/>
        <color theme="4" tint="-0.25"/>
        <rFont val="宋体"/>
        <charset val="134"/>
      </rPr>
      <t>}</t>
    </r>
  </si>
  <si>
    <r>
      <rPr>
        <b/>
        <sz val="11"/>
        <color theme="4" tint="-0.25"/>
        <rFont val="宋体"/>
        <charset val="134"/>
        <scheme val="minor"/>
      </rPr>
      <t>{</t>
    </r>
    <r>
      <rPr>
        <b/>
        <sz val="11"/>
        <color theme="1"/>
        <rFont val="宋体"/>
        <charset val="134"/>
        <scheme val="minor"/>
      </rPr>
      <t xml:space="preserve"> 加工清单：报价工价</t>
    </r>
    <r>
      <rPr>
        <b/>
        <sz val="11"/>
        <color theme="4" tint="-0.25"/>
        <rFont val="宋体"/>
        <charset val="134"/>
        <scheme val="minor"/>
      </rPr>
      <t xml:space="preserve"> 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</si>
  <si>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加工清单：备注</t>
    </r>
    <r>
      <rPr>
        <b/>
        <sz val="10.5"/>
        <color theme="4" tint="-0.25"/>
        <rFont val="宋体"/>
        <charset val="134"/>
      </rPr>
      <t xml:space="preserve"> }</t>
    </r>
  </si>
  <si>
    <r>
      <rPr>
        <b/>
        <sz val="11"/>
        <color theme="4" tint="-0.25"/>
        <rFont val="宋体"/>
        <charset val="134"/>
        <scheme val="minor"/>
      </rPr>
      <t>{</t>
    </r>
    <r>
      <rPr>
        <b/>
        <sz val="11"/>
        <color theme="1"/>
        <rFont val="宋体"/>
        <charset val="134"/>
        <scheme val="minor"/>
      </rPr>
      <t xml:space="preserve"> 加工清单：Σ报价工价</t>
    </r>
    <r>
      <rPr>
        <b/>
        <sz val="11"/>
        <color theme="4" tint="-0.25"/>
        <rFont val="宋体"/>
        <charset val="134"/>
        <scheme val="minor"/>
      </rPr>
      <t xml:space="preserve"> }</t>
    </r>
  </si>
  <si>
    <t>其他成本</t>
  </si>
  <si>
    <t>成本分组</t>
  </si>
  <si>
    <t>描述</t>
  </si>
  <si>
    <t>报价单价</t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</si>
  <si>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 xml:space="preserve">其它清单：成本分组 </t>
    </r>
    <r>
      <rPr>
        <b/>
        <sz val="10.5"/>
        <color theme="4" tint="-0.25"/>
        <rFont val="宋体"/>
        <charset val="134"/>
      </rPr>
      <t>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</si>
  <si>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 xml:space="preserve">其它清单：描述 </t>
    </r>
    <r>
      <rPr>
        <b/>
        <sz val="10.5"/>
        <color theme="4" tint="-0.25"/>
        <rFont val="宋体"/>
        <charset val="134"/>
      </rPr>
      <t>}</t>
    </r>
  </si>
  <si>
    <r>
      <rPr>
        <b/>
        <sz val="11"/>
        <color theme="4" tint="-0.25"/>
        <rFont val="宋体"/>
        <charset val="134"/>
        <scheme val="minor"/>
      </rPr>
      <t>{</t>
    </r>
    <r>
      <rPr>
        <b/>
        <sz val="11"/>
        <color theme="1"/>
        <rFont val="宋体"/>
        <charset val="134"/>
        <scheme val="minor"/>
      </rPr>
      <t xml:space="preserve"> 其它清单：报价单价</t>
    </r>
    <r>
      <rPr>
        <b/>
        <sz val="11"/>
        <color theme="4" tint="-0.25"/>
        <rFont val="宋体"/>
        <charset val="134"/>
        <scheme val="minor"/>
      </rPr>
      <t xml:space="preserve"> 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</si>
  <si>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>其它清单：备注</t>
    </r>
    <r>
      <rPr>
        <b/>
        <sz val="10.5"/>
        <color theme="4" tint="-0.25"/>
        <rFont val="宋体"/>
        <charset val="134"/>
      </rPr>
      <t xml:space="preserve"> }</t>
    </r>
  </si>
  <si>
    <r>
      <rPr>
        <b/>
        <sz val="11"/>
        <color theme="4" tint="-0.25"/>
        <rFont val="宋体"/>
        <charset val="134"/>
        <scheme val="minor"/>
      </rPr>
      <t>{</t>
    </r>
    <r>
      <rPr>
        <b/>
        <sz val="11"/>
        <color theme="1"/>
        <rFont val="宋体"/>
        <charset val="134"/>
        <scheme val="minor"/>
      </rPr>
      <t xml:space="preserve"> 其它清单：Σ报价单价</t>
    </r>
    <r>
      <rPr>
        <b/>
        <sz val="11"/>
        <color theme="4" tint="-0.25"/>
        <rFont val="宋体"/>
        <charset val="134"/>
        <scheme val="minor"/>
      </rPr>
      <t xml:space="preserve"> }</t>
    </r>
  </si>
  <si>
    <t>成本汇总</t>
  </si>
  <si>
    <t>项目</t>
  </si>
  <si>
    <t>汇总</t>
  </si>
  <si>
    <t>报价</t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</si>
  <si>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 xml:space="preserve">面料清单：系数报价 </t>
    </r>
    <r>
      <rPr>
        <b/>
        <sz val="10.5"/>
        <color theme="4" tint="-0.25"/>
        <rFont val="宋体"/>
        <charset val="134"/>
      </rPr>
      <t>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</si>
  <si>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 xml:space="preserve">辅料清单：系数报价 </t>
    </r>
    <r>
      <rPr>
        <b/>
        <sz val="10.5"/>
        <color theme="4" tint="-0.25"/>
        <rFont val="宋体"/>
        <charset val="134"/>
      </rPr>
      <t>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</si>
  <si>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 xml:space="preserve">包装清单：系数报价 </t>
    </r>
    <r>
      <rPr>
        <b/>
        <sz val="10.5"/>
        <color theme="4" tint="-0.25"/>
        <rFont val="宋体"/>
        <charset val="134"/>
      </rPr>
      <t>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</si>
  <si>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 xml:space="preserve">加工清单：系数报价 </t>
    </r>
    <r>
      <rPr>
        <b/>
        <sz val="10.5"/>
        <color theme="4" tint="-0.25"/>
        <rFont val="宋体"/>
        <charset val="134"/>
      </rPr>
      <t>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</si>
  <si>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 xml:space="preserve">其它清单：系数报价 </t>
    </r>
    <r>
      <rPr>
        <b/>
        <sz val="10.5"/>
        <color theme="4" tint="-0.25"/>
        <rFont val="宋体"/>
        <charset val="134"/>
      </rPr>
      <t>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</si>
  <si>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 xml:space="preserve">报价单：系数报价 </t>
    </r>
    <r>
      <rPr>
        <b/>
        <sz val="10.5"/>
        <color theme="4" tint="-0.25"/>
        <rFont val="宋体"/>
        <charset val="134"/>
      </rPr>
      <t>}</t>
    </r>
  </si>
  <si>
    <t>报价占比</t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</si>
  <si>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 xml:space="preserve">面料清单：报价占比 </t>
    </r>
    <r>
      <rPr>
        <b/>
        <sz val="10.5"/>
        <color theme="4" tint="-0.25"/>
        <rFont val="宋体"/>
        <charset val="134"/>
      </rPr>
      <t>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</si>
  <si>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 xml:space="preserve">辅料清单：报价占比 </t>
    </r>
    <r>
      <rPr>
        <b/>
        <sz val="10.5"/>
        <color theme="4" tint="-0.25"/>
        <rFont val="宋体"/>
        <charset val="134"/>
      </rPr>
      <t>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</si>
  <si>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 xml:space="preserve">包装清单：报价占比 </t>
    </r>
    <r>
      <rPr>
        <b/>
        <sz val="10.5"/>
        <color theme="4" tint="-0.25"/>
        <rFont val="宋体"/>
        <charset val="134"/>
      </rPr>
      <t>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</si>
  <si>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 xml:space="preserve">加工清单：报价占比 </t>
    </r>
    <r>
      <rPr>
        <b/>
        <sz val="10.5"/>
        <color theme="4" tint="-0.25"/>
        <rFont val="宋体"/>
        <charset val="134"/>
      </rPr>
      <t>}</t>
    </r>
  </si>
  <si>
    <r>
      <rPr>
        <b/>
        <sz val="10.5"/>
        <color theme="4" tint="-0.25"/>
        <rFont val="宋体"/>
        <charset val="134"/>
      </rPr>
      <t xml:space="preserve">{ </t>
    </r>
    <r>
      <rPr>
        <b/>
        <sz val="10.5"/>
        <color theme="1"/>
        <rFont val="宋体"/>
        <charset val="134"/>
      </rPr>
      <t xml:space="preserve">其它清单：报价占比 </t>
    </r>
    <r>
      <rPr>
        <b/>
        <sz val="10.5"/>
        <color theme="4" tint="-0.25"/>
        <rFont val="宋体"/>
        <charset val="134"/>
      </rPr>
      <t>}</t>
    </r>
  </si>
  <si>
    <t>法良时装（上海）有限公司</t>
  </si>
  <si>
    <t>伊芙丽</t>
  </si>
  <si>
    <t>滑雪棉服外套</t>
  </si>
  <si>
    <t>1000件</t>
  </si>
  <si>
    <t>0998</t>
  </si>
  <si>
    <t>1000套</t>
  </si>
  <si>
    <t>AIRFORCE</t>
  </si>
  <si>
    <t>预计订单数量</t>
  </si>
  <si>
    <t>800件</t>
  </si>
  <si>
    <t>BJD24030007</t>
  </si>
  <si>
    <t>9095</t>
  </si>
  <si>
    <t>张三</t>
  </si>
  <si>
    <t>孔雀绿</t>
  </si>
  <si>
    <t>啊啊啊啊啊啊</t>
  </si>
  <si>
    <t>全棉棉段满身拔印</t>
  </si>
  <si>
    <t>业务员提供价</t>
  </si>
  <si>
    <t>纽扣</t>
  </si>
  <si>
    <t>绣花</t>
  </si>
  <si>
    <t>3.5cm橡筋</t>
  </si>
  <si>
    <t>主标</t>
  </si>
  <si>
    <t>不含</t>
  </si>
  <si>
    <t>尺码标</t>
  </si>
  <si>
    <t>吊牌</t>
  </si>
  <si>
    <t>别针</t>
  </si>
  <si>
    <t>洗标</t>
  </si>
  <si>
    <t>衬</t>
  </si>
  <si>
    <t>不含报价以外费用</t>
  </si>
  <si>
    <t>线</t>
  </si>
  <si>
    <t>普通胶袋</t>
  </si>
  <si>
    <t>纸箱+盖板</t>
  </si>
  <si>
    <t>包装、整烫、检验</t>
  </si>
  <si>
    <t>S</t>
  </si>
  <si>
    <t>M</t>
  </si>
  <si>
    <t>通用</t>
  </si>
  <si>
    <t>纸箱</t>
  </si>
  <si>
    <t>3.4*4.5</t>
  </si>
  <si>
    <t>贴条</t>
  </si>
  <si>
    <t>1*6</t>
  </si>
  <si>
    <t>箱贴</t>
  </si>
  <si>
    <t>裁剪</t>
  </si>
  <si>
    <t>缝制</t>
  </si>
  <si>
    <t>管理费用</t>
  </si>
  <si>
    <t>小组长管理</t>
  </si>
  <si>
    <t>面料测试费用</t>
  </si>
  <si>
    <t>测试花费</t>
  </si>
  <si>
    <t>BJD24030008</t>
  </si>
  <si>
    <t>BJD24030009</t>
  </si>
  <si>
    <t>嘿嘿嘿嘿嘿嘿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</si>
</sst>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6" formatCode="&quot;￥&quot;#,##0;[Red]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x####\ &quot;件&quot;"/>
  </numFmts>
  <fonts count="37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</font>
    <font>
      <b/>
      <sz val="10.5"/>
      <color theme="1"/>
      <name val="宋体"/>
      <charset val="134"/>
    </font>
    <font>
      <b/>
      <sz val="10.5"/>
      <color theme="1"/>
      <name val="Calibri"/>
      <charset val="134"/>
    </font>
    <font>
      <b/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name val="微软雅黑"/>
      <charset val="134"/>
    </font>
    <font>
      <b/>
      <sz val="8"/>
      <color rgb="FF0070C0"/>
      <name val="微软雅黑"/>
      <charset val="134"/>
    </font>
    <font>
      <b/>
      <sz val="10"/>
      <color theme="4"/>
      <name val="微软雅黑"/>
      <charset val="134"/>
    </font>
    <font>
      <b/>
      <sz val="10.5"/>
      <color theme="4" tint="-0.25"/>
      <name val="宋体"/>
      <charset val="134"/>
    </font>
    <font>
      <b/>
      <sz val="11"/>
      <color theme="4" tint="-0.25"/>
      <name val="宋体"/>
      <charset val="134"/>
      <scheme val="minor"/>
    </font>
    <font>
      <b/>
      <sz val="14"/>
      <color theme="4"/>
      <name val="微软雅黑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4" tint="-0.25"/>
      <name val="微软雅黑"/>
      <charset val="134"/>
    </font>
    <font>
      <b/>
      <sz val="14"/>
      <color theme="4" tint="-0.25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3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22" fillId="0" borderId="33" applyNumberFormat="0" applyFill="0" applyAlignment="0" applyProtection="0">
      <alignment vertical="center"/>
    </xf>
    <xf numFmtId="0" fontId="23" fillId="0" borderId="3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35" applyNumberFormat="0" applyAlignment="0" applyProtection="0">
      <alignment vertical="center"/>
    </xf>
    <xf numFmtId="0" fontId="25" fillId="7" borderId="36" applyNumberFormat="0" applyAlignment="0" applyProtection="0">
      <alignment vertical="center"/>
    </xf>
    <xf numFmtId="0" fontId="26" fillId="7" borderId="35" applyNumberFormat="0" applyAlignment="0" applyProtection="0">
      <alignment vertical="center"/>
    </xf>
    <xf numFmtId="0" fontId="27" fillId="8" borderId="37" applyNumberFormat="0" applyAlignment="0" applyProtection="0">
      <alignment vertical="center"/>
    </xf>
    <xf numFmtId="0" fontId="28" fillId="0" borderId="38" applyNumberFormat="0" applyFill="0" applyAlignment="0" applyProtection="0">
      <alignment vertical="center"/>
    </xf>
    <xf numFmtId="0" fontId="29" fillId="0" borderId="39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justify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top" wrapText="1"/>
    </xf>
    <xf numFmtId="49" fontId="3" fillId="0" borderId="2" xfId="0" applyNumberFormat="1" applyFont="1" applyBorder="1" applyAlignment="1">
      <alignment horizontal="justify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justify" vertical="top" wrapText="1"/>
    </xf>
    <xf numFmtId="0" fontId="2" fillId="0" borderId="6" xfId="0" applyFont="1" applyBorder="1" applyAlignment="1">
      <alignment horizontal="justify" vertical="top" wrapText="1"/>
    </xf>
    <xf numFmtId="0" fontId="2" fillId="0" borderId="7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justify" vertical="top" wrapText="1"/>
    </xf>
    <xf numFmtId="0" fontId="2" fillId="0" borderId="6" xfId="0" applyFont="1" applyBorder="1" applyAlignment="1">
      <alignment horizontal="center"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4" fillId="0" borderId="8" xfId="0" applyFont="1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9" fontId="3" fillId="0" borderId="7" xfId="0" applyNumberFormat="1" applyFont="1" applyBorder="1" applyAlignment="1">
      <alignment horizontal="center" vertical="center" wrapText="1"/>
    </xf>
    <xf numFmtId="10" fontId="2" fillId="0" borderId="7" xfId="0" applyNumberFormat="1" applyFont="1" applyBorder="1" applyAlignment="1">
      <alignment horizontal="center" vertical="center" wrapText="1"/>
    </xf>
    <xf numFmtId="10" fontId="2" fillId="0" borderId="12" xfId="0" applyNumberFormat="1" applyFont="1" applyBorder="1" applyAlignment="1">
      <alignment horizontal="center" vertical="center" wrapText="1"/>
    </xf>
    <xf numFmtId="9" fontId="3" fillId="0" borderId="10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0" fontId="2" fillId="0" borderId="11" xfId="0" applyNumberFormat="1" applyFont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15" xfId="0" applyNumberFormat="1" applyFont="1" applyBorder="1" applyAlignment="1">
      <alignment horizontal="right" vertical="center"/>
    </xf>
    <xf numFmtId="0" fontId="6" fillId="0" borderId="15" xfId="0" applyNumberFormat="1" applyFont="1" applyFill="1" applyBorder="1" applyAlignment="1">
      <alignment horizontal="left" vertical="center" wrapText="1"/>
    </xf>
    <xf numFmtId="0" fontId="7" fillId="0" borderId="0" xfId="0" applyFont="1">
      <alignment vertical="center"/>
    </xf>
    <xf numFmtId="0" fontId="8" fillId="3" borderId="15" xfId="0" applyNumberFormat="1" applyFont="1" applyFill="1" applyBorder="1" applyAlignment="1">
      <alignment horizontal="center" vertical="center" wrapText="1"/>
    </xf>
    <xf numFmtId="0" fontId="8" fillId="4" borderId="16" xfId="0" applyNumberFormat="1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8" fillId="0" borderId="15" xfId="0" applyNumberFormat="1" applyFont="1" applyFill="1" applyBorder="1" applyAlignment="1">
      <alignment horizontal="center" vertical="center" wrapText="1"/>
    </xf>
    <xf numFmtId="14" fontId="8" fillId="0" borderId="15" xfId="0" applyNumberFormat="1" applyFont="1" applyFill="1" applyBorder="1" applyAlignment="1">
      <alignment horizontal="center" vertical="center" wrapText="1"/>
    </xf>
    <xf numFmtId="6" fontId="8" fillId="0" borderId="15" xfId="0" applyNumberFormat="1" applyFont="1" applyFill="1" applyBorder="1" applyAlignment="1">
      <alignment horizontal="center" vertical="center" wrapText="1"/>
    </xf>
    <xf numFmtId="176" fontId="10" fillId="0" borderId="15" xfId="0" applyNumberFormat="1" applyFont="1" applyBorder="1" applyAlignment="1">
      <alignment horizontal="center" vertical="center" wrapText="1"/>
    </xf>
    <xf numFmtId="49" fontId="8" fillId="0" borderId="15" xfId="0" applyNumberFormat="1" applyFont="1" applyFill="1" applyBorder="1" applyAlignment="1">
      <alignment horizontal="center" vertical="center" wrapText="1"/>
    </xf>
    <xf numFmtId="6" fontId="8" fillId="0" borderId="18" xfId="0" applyNumberFormat="1" applyFont="1" applyFill="1" applyBorder="1" applyAlignment="1">
      <alignment horizontal="center" vertical="center" wrapText="1"/>
    </xf>
    <xf numFmtId="176" fontId="10" fillId="0" borderId="19" xfId="0" applyNumberFormat="1" applyFont="1" applyBorder="1" applyAlignment="1">
      <alignment horizontal="center" vertical="center" wrapText="1"/>
    </xf>
    <xf numFmtId="0" fontId="0" fillId="0" borderId="0" xfId="0" applyNumberFormat="1">
      <alignment vertical="center"/>
    </xf>
    <xf numFmtId="0" fontId="2" fillId="0" borderId="20" xfId="0" applyFont="1" applyBorder="1" applyAlignment="1">
      <alignment horizontal="justify" vertical="top" wrapText="1"/>
    </xf>
    <xf numFmtId="0" fontId="11" fillId="0" borderId="21" xfId="0" applyNumberFormat="1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top" wrapText="1"/>
    </xf>
    <xf numFmtId="0" fontId="11" fillId="0" borderId="22" xfId="0" applyNumberFormat="1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justify" vertical="top" wrapText="1"/>
    </xf>
    <xf numFmtId="0" fontId="11" fillId="0" borderId="15" xfId="0" applyNumberFormat="1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top" wrapText="1"/>
    </xf>
    <xf numFmtId="0" fontId="11" fillId="0" borderId="24" xfId="0" applyNumberFormat="1" applyFont="1" applyFill="1" applyBorder="1" applyAlignment="1">
      <alignment horizontal="left" vertical="center" wrapText="1"/>
    </xf>
    <xf numFmtId="0" fontId="11" fillId="0" borderId="16" xfId="0" applyNumberFormat="1" applyFont="1" applyFill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top" wrapText="1"/>
    </xf>
    <xf numFmtId="0" fontId="11" fillId="0" borderId="25" xfId="0" applyNumberFormat="1" applyFont="1" applyFill="1" applyBorder="1" applyAlignment="1">
      <alignment horizontal="left" vertical="center" wrapText="1"/>
    </xf>
    <xf numFmtId="0" fontId="2" fillId="0" borderId="26" xfId="0" applyFont="1" applyBorder="1" applyAlignment="1">
      <alignment horizontal="justify" vertical="top" wrapText="1"/>
    </xf>
    <xf numFmtId="0" fontId="11" fillId="0" borderId="27" xfId="0" applyNumberFormat="1" applyFont="1" applyFill="1" applyBorder="1" applyAlignment="1">
      <alignment horizontal="left" vertical="center" wrapText="1"/>
    </xf>
    <xf numFmtId="0" fontId="11" fillId="0" borderId="28" xfId="0" applyNumberFormat="1" applyFont="1" applyFill="1" applyBorder="1" applyAlignment="1">
      <alignment horizontal="left" vertical="center" wrapText="1"/>
    </xf>
    <xf numFmtId="0" fontId="11" fillId="0" borderId="29" xfId="0" applyNumberFormat="1" applyFont="1" applyFill="1" applyBorder="1" applyAlignment="1">
      <alignment horizontal="left" vertical="center" wrapText="1"/>
    </xf>
    <xf numFmtId="0" fontId="12" fillId="0" borderId="7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right" vertical="center"/>
    </xf>
    <xf numFmtId="177" fontId="14" fillId="0" borderId="15" xfId="0" applyNumberFormat="1" applyFont="1" applyFill="1" applyBorder="1" applyAlignment="1">
      <alignment horizontal="left" vertical="center" wrapText="1"/>
    </xf>
    <xf numFmtId="0" fontId="6" fillId="3" borderId="15" xfId="0" applyNumberFormat="1" applyFont="1" applyFill="1" applyBorder="1" applyAlignment="1">
      <alignment horizontal="center" vertical="center" wrapText="1"/>
    </xf>
    <xf numFmtId="0" fontId="6" fillId="4" borderId="16" xfId="0" applyNumberFormat="1" applyFont="1" applyFill="1" applyBorder="1" applyAlignment="1">
      <alignment horizontal="center" vertical="center" wrapText="1"/>
    </xf>
    <xf numFmtId="0" fontId="11" fillId="0" borderId="15" xfId="0" applyNumberFormat="1" applyFont="1" applyFill="1" applyBorder="1" applyAlignment="1">
      <alignment horizontal="center" vertical="center" wrapText="1"/>
    </xf>
    <xf numFmtId="0" fontId="15" fillId="0" borderId="0" xfId="0" applyNumberFormat="1" applyFont="1">
      <alignment vertical="center"/>
    </xf>
    <xf numFmtId="0" fontId="14" fillId="0" borderId="15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zoomScale="115" zoomScaleNormal="115" workbookViewId="0">
      <selection activeCell="F17" sqref="F17"/>
    </sheetView>
  </sheetViews>
  <sheetFormatPr defaultColWidth="8.88888888888889" defaultRowHeight="14.4"/>
  <cols>
    <col min="1" max="1" width="10.4814814814815" customWidth="1"/>
    <col min="2" max="2" width="17.5555555555556" customWidth="1"/>
    <col min="3" max="3" width="21.7777777777778" customWidth="1"/>
    <col min="4" max="4" width="19.6666666666667" customWidth="1"/>
    <col min="5" max="6" width="18.8888888888889" customWidth="1"/>
    <col min="7" max="7" width="17.25" customWidth="1"/>
    <col min="8" max="8" width="24.5092592592593" hidden="1" customWidth="1"/>
  </cols>
  <sheetData>
    <row r="1" ht="37" customHeight="1" spans="1:8">
      <c r="A1" s="51" t="s">
        <v>0</v>
      </c>
      <c r="B1" s="52"/>
      <c r="C1" s="52"/>
      <c r="D1" s="52"/>
      <c r="E1" s="52"/>
      <c r="F1" s="52"/>
      <c r="G1" s="52"/>
      <c r="H1" s="52"/>
    </row>
    <row r="2" ht="31" customHeight="1" spans="1:8">
      <c r="A2" s="93" t="s">
        <v>1</v>
      </c>
      <c r="B2" s="93"/>
      <c r="C2" s="94" t="s">
        <v>2</v>
      </c>
      <c r="D2" s="94"/>
      <c r="E2" s="94"/>
      <c r="F2" s="94"/>
      <c r="G2" s="94"/>
      <c r="H2" s="55"/>
    </row>
    <row r="3" ht="31" customHeight="1" spans="1:8">
      <c r="A3" s="56" t="s">
        <v>3</v>
      </c>
      <c r="B3" s="56" t="s">
        <v>4</v>
      </c>
      <c r="C3" s="95" t="s">
        <v>5</v>
      </c>
      <c r="D3" s="95" t="s">
        <v>6</v>
      </c>
      <c r="E3" s="95" t="s">
        <v>7</v>
      </c>
      <c r="F3" s="95" t="s">
        <v>8</v>
      </c>
      <c r="G3" s="96" t="s">
        <v>9</v>
      </c>
      <c r="H3" s="58" t="s">
        <v>10</v>
      </c>
    </row>
    <row r="4" s="50" customFormat="1" ht="47" customHeight="1" spans="1:13">
      <c r="A4" s="97" t="s">
        <v>11</v>
      </c>
      <c r="B4" s="97" t="s">
        <v>12</v>
      </c>
      <c r="C4" s="97" t="s">
        <v>13</v>
      </c>
      <c r="D4" s="97" t="s">
        <v>14</v>
      </c>
      <c r="E4" s="97" t="s">
        <v>15</v>
      </c>
      <c r="F4" s="97" t="s">
        <v>16</v>
      </c>
      <c r="G4" s="59" t="s">
        <v>17</v>
      </c>
      <c r="H4" s="62" t="s">
        <v>18</v>
      </c>
      <c r="I4"/>
      <c r="J4"/>
      <c r="K4"/>
      <c r="L4"/>
      <c r="M4"/>
    </row>
    <row r="5" s="50" customFormat="1" ht="49" customHeight="1" spans="1:8">
      <c r="A5" s="97" t="s">
        <v>11</v>
      </c>
      <c r="B5" s="97" t="s">
        <v>12</v>
      </c>
      <c r="C5" s="97" t="s">
        <v>13</v>
      </c>
      <c r="D5" s="97" t="s">
        <v>14</v>
      </c>
      <c r="E5" s="97" t="s">
        <v>15</v>
      </c>
      <c r="F5" s="97" t="s">
        <v>16</v>
      </c>
      <c r="G5" s="59" t="s">
        <v>17</v>
      </c>
      <c r="H5" s="65" t="s">
        <v>19</v>
      </c>
    </row>
    <row r="6" ht="20" customHeight="1" spans="1:7">
      <c r="A6" s="66"/>
      <c r="B6" s="66"/>
      <c r="C6" s="98"/>
      <c r="D6" s="98"/>
      <c r="E6" s="98"/>
      <c r="F6" s="98"/>
      <c r="G6" s="98"/>
    </row>
    <row r="7" ht="31" customHeight="1" spans="1:8">
      <c r="A7" s="53" t="s">
        <v>1</v>
      </c>
      <c r="B7" s="53"/>
      <c r="C7" s="99" t="s">
        <v>2</v>
      </c>
      <c r="D7" s="99"/>
      <c r="E7" s="99"/>
      <c r="F7" s="99"/>
      <c r="G7" s="99"/>
      <c r="H7" s="55"/>
    </row>
    <row r="8" ht="31" customHeight="1" spans="1:8">
      <c r="A8" s="56" t="s">
        <v>3</v>
      </c>
      <c r="B8" s="56" t="s">
        <v>4</v>
      </c>
      <c r="C8" s="56" t="s">
        <v>5</v>
      </c>
      <c r="D8" s="56" t="s">
        <v>6</v>
      </c>
      <c r="E8" s="56" t="s">
        <v>7</v>
      </c>
      <c r="F8" s="56" t="s">
        <v>8</v>
      </c>
      <c r="G8" s="57" t="s">
        <v>9</v>
      </c>
      <c r="H8" s="58" t="s">
        <v>10</v>
      </c>
    </row>
    <row r="9" s="50" customFormat="1" ht="47" customHeight="1" spans="1:13">
      <c r="A9" s="97" t="s">
        <v>11</v>
      </c>
      <c r="B9" s="97" t="s">
        <v>12</v>
      </c>
      <c r="C9" s="97" t="s">
        <v>13</v>
      </c>
      <c r="D9" s="97" t="s">
        <v>14</v>
      </c>
      <c r="E9" s="97" t="s">
        <v>15</v>
      </c>
      <c r="F9" s="97" t="s">
        <v>16</v>
      </c>
      <c r="G9" s="59" t="s">
        <v>17</v>
      </c>
      <c r="H9" s="62" t="s">
        <v>18</v>
      </c>
      <c r="I9"/>
      <c r="J9"/>
      <c r="K9"/>
      <c r="L9"/>
      <c r="M9"/>
    </row>
  </sheetData>
  <mergeCells count="5">
    <mergeCell ref="A1:H1"/>
    <mergeCell ref="A2:B2"/>
    <mergeCell ref="C2:G2"/>
    <mergeCell ref="A7:B7"/>
    <mergeCell ref="C7:G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130" zoomScaleNormal="130" topLeftCell="A19" workbookViewId="0">
      <selection activeCell="E38" sqref="E38"/>
    </sheetView>
  </sheetViews>
  <sheetFormatPr defaultColWidth="8.88888888888889" defaultRowHeight="14.4" outlineLevelCol="7"/>
  <cols>
    <col min="1" max="1" width="11.7962962962963" customWidth="1"/>
    <col min="2" max="2" width="24.7777777777778" customWidth="1"/>
    <col min="3" max="3" width="18.6666666666667" customWidth="1"/>
    <col min="4" max="4" width="15.7777777777778" customWidth="1"/>
    <col min="5" max="5" width="14.7777777777778" customWidth="1"/>
    <col min="6" max="6" width="15.7777777777778" customWidth="1"/>
    <col min="7" max="7" width="25.6666666666667" customWidth="1"/>
    <col min="8" max="8" width="18.2222222222222" customWidth="1"/>
  </cols>
  <sheetData>
    <row r="1" ht="22.95" spans="1:7">
      <c r="A1" s="1" t="s">
        <v>20</v>
      </c>
      <c r="B1" s="1"/>
      <c r="C1" s="1"/>
      <c r="D1" s="1"/>
      <c r="E1" s="1"/>
      <c r="F1" s="1"/>
      <c r="G1" s="1"/>
    </row>
    <row r="2" ht="15.6" spans="1:7">
      <c r="A2" s="67" t="s">
        <v>21</v>
      </c>
      <c r="B2" s="68" t="s">
        <v>22</v>
      </c>
      <c r="C2" s="69" t="s">
        <v>8</v>
      </c>
      <c r="D2" s="70" t="s">
        <v>23</v>
      </c>
      <c r="E2" s="71" t="s">
        <v>24</v>
      </c>
      <c r="F2" s="6"/>
      <c r="G2" s="6"/>
    </row>
    <row r="3" ht="15.6" spans="1:7">
      <c r="A3" s="72" t="s">
        <v>4</v>
      </c>
      <c r="B3" s="73" t="s">
        <v>25</v>
      </c>
      <c r="C3" s="74" t="s">
        <v>26</v>
      </c>
      <c r="D3" s="75" t="s">
        <v>27</v>
      </c>
      <c r="E3" s="10"/>
      <c r="F3" s="10"/>
      <c r="G3" s="10"/>
    </row>
    <row r="4" ht="15.6" spans="1:7">
      <c r="A4" s="72" t="s">
        <v>28</v>
      </c>
      <c r="B4" s="73" t="s">
        <v>29</v>
      </c>
      <c r="C4" s="74" t="s">
        <v>30</v>
      </c>
      <c r="D4" s="75" t="s">
        <v>31</v>
      </c>
      <c r="E4" s="10"/>
      <c r="F4" s="10"/>
      <c r="G4" s="10"/>
    </row>
    <row r="5" ht="16.35" spans="1:7">
      <c r="A5" s="72" t="s">
        <v>32</v>
      </c>
      <c r="B5" s="76" t="s">
        <v>33</v>
      </c>
      <c r="C5" s="77" t="s">
        <v>34</v>
      </c>
      <c r="D5" s="78" t="s">
        <v>35</v>
      </c>
      <c r="E5" s="10"/>
      <c r="F5" s="10"/>
      <c r="G5" s="10"/>
    </row>
    <row r="6" ht="16.35" spans="1:7">
      <c r="A6" s="79" t="s">
        <v>10</v>
      </c>
      <c r="B6" s="80" t="s">
        <v>36</v>
      </c>
      <c r="C6" s="81"/>
      <c r="D6" s="82"/>
      <c r="E6" s="16"/>
      <c r="F6" s="16"/>
      <c r="G6" s="16"/>
    </row>
    <row r="7" spans="1:7">
      <c r="A7" s="17"/>
      <c r="G7" s="18"/>
    </row>
    <row r="8" ht="15.15" spans="1:7">
      <c r="A8" s="19" t="s">
        <v>37</v>
      </c>
      <c r="G8" s="18"/>
    </row>
    <row r="9" ht="15.15" spans="1:8">
      <c r="A9" s="20" t="s">
        <v>38</v>
      </c>
      <c r="B9" s="20" t="s">
        <v>39</v>
      </c>
      <c r="C9" s="20" t="s">
        <v>40</v>
      </c>
      <c r="D9" s="20" t="s">
        <v>41</v>
      </c>
      <c r="E9" s="20" t="s">
        <v>42</v>
      </c>
      <c r="F9" s="20" t="s">
        <v>43</v>
      </c>
      <c r="G9" s="20" t="s">
        <v>10</v>
      </c>
      <c r="H9" s="21"/>
    </row>
    <row r="10" ht="29.55" spans="1:8">
      <c r="A10" s="83" t="s">
        <v>44</v>
      </c>
      <c r="B10" s="83" t="s">
        <v>45</v>
      </c>
      <c r="C10" s="83" t="s">
        <v>46</v>
      </c>
      <c r="D10" s="83" t="s">
        <v>47</v>
      </c>
      <c r="E10" s="83" t="s">
        <v>48</v>
      </c>
      <c r="F10" s="83" t="s">
        <v>49</v>
      </c>
      <c r="G10" s="83" t="s">
        <v>50</v>
      </c>
      <c r="H10" s="21"/>
    </row>
    <row r="11" ht="29.55" spans="1:7">
      <c r="A11" s="22" t="s">
        <v>51</v>
      </c>
      <c r="B11" s="23"/>
      <c r="C11" s="23"/>
      <c r="D11" s="23"/>
      <c r="E11" s="23"/>
      <c r="F11" s="83" t="s">
        <v>52</v>
      </c>
      <c r="G11" s="23"/>
    </row>
    <row r="12" spans="1:7">
      <c r="A12" s="17"/>
      <c r="G12" s="18"/>
    </row>
    <row r="13" ht="15.15" spans="1:7">
      <c r="A13" s="19" t="s">
        <v>53</v>
      </c>
      <c r="G13" s="18"/>
    </row>
    <row r="14" ht="15.15" spans="1:8">
      <c r="A14" s="20" t="s">
        <v>38</v>
      </c>
      <c r="B14" s="20" t="s">
        <v>39</v>
      </c>
      <c r="C14" s="20" t="s">
        <v>40</v>
      </c>
      <c r="D14" s="20" t="s">
        <v>41</v>
      </c>
      <c r="E14" s="20" t="s">
        <v>42</v>
      </c>
      <c r="F14" s="20" t="s">
        <v>43</v>
      </c>
      <c r="G14" s="20" t="s">
        <v>10</v>
      </c>
      <c r="H14" s="21"/>
    </row>
    <row r="15" ht="29.55" spans="1:8">
      <c r="A15" s="83" t="s">
        <v>54</v>
      </c>
      <c r="B15" s="83" t="s">
        <v>55</v>
      </c>
      <c r="C15" s="83" t="s">
        <v>56</v>
      </c>
      <c r="D15" s="83" t="s">
        <v>57</v>
      </c>
      <c r="E15" s="83" t="s">
        <v>58</v>
      </c>
      <c r="F15" s="83" t="s">
        <v>59</v>
      </c>
      <c r="G15" s="83" t="s">
        <v>60</v>
      </c>
      <c r="H15" s="21"/>
    </row>
    <row r="16" customFormat="1" ht="29.55" spans="1:7">
      <c r="A16" s="22" t="s">
        <v>51</v>
      </c>
      <c r="B16" s="23"/>
      <c r="C16" s="23"/>
      <c r="D16" s="23"/>
      <c r="E16" s="23"/>
      <c r="F16" s="83" t="s">
        <v>61</v>
      </c>
      <c r="G16" s="23"/>
    </row>
    <row r="17" spans="1:7">
      <c r="A17" s="17"/>
      <c r="G17" s="18"/>
    </row>
    <row r="18" ht="15.15" spans="1:7">
      <c r="A18" s="19" t="s">
        <v>62</v>
      </c>
      <c r="G18" s="18"/>
    </row>
    <row r="19" ht="15.15" spans="1:8">
      <c r="A19" s="20" t="s">
        <v>38</v>
      </c>
      <c r="B19" s="20" t="s">
        <v>39</v>
      </c>
      <c r="C19" s="20" t="s">
        <v>40</v>
      </c>
      <c r="D19" s="20" t="s">
        <v>41</v>
      </c>
      <c r="E19" s="20" t="s">
        <v>42</v>
      </c>
      <c r="F19" s="20" t="s">
        <v>43</v>
      </c>
      <c r="G19" s="20" t="s">
        <v>10</v>
      </c>
      <c r="H19" s="21"/>
    </row>
    <row r="20" ht="29.55" spans="1:8">
      <c r="A20" s="83" t="s">
        <v>63</v>
      </c>
      <c r="B20" s="83" t="s">
        <v>64</v>
      </c>
      <c r="C20" s="83" t="s">
        <v>65</v>
      </c>
      <c r="D20" s="83" t="s">
        <v>66</v>
      </c>
      <c r="E20" s="83" t="s">
        <v>67</v>
      </c>
      <c r="F20" s="83" t="s">
        <v>68</v>
      </c>
      <c r="G20" s="83" t="s">
        <v>69</v>
      </c>
      <c r="H20" s="21"/>
    </row>
    <row r="21" customFormat="1" ht="29.55" spans="1:7">
      <c r="A21" s="22" t="s">
        <v>51</v>
      </c>
      <c r="B21" s="23"/>
      <c r="C21" s="23"/>
      <c r="D21" s="23"/>
      <c r="E21" s="23"/>
      <c r="F21" s="83" t="s">
        <v>70</v>
      </c>
      <c r="G21" s="23"/>
    </row>
    <row r="22" spans="1:7">
      <c r="A22" s="17"/>
      <c r="G22" s="18"/>
    </row>
    <row r="23" ht="15.15" spans="1:7">
      <c r="A23" s="19" t="s">
        <v>71</v>
      </c>
      <c r="G23" s="18"/>
    </row>
    <row r="24" ht="15.15" spans="1:7">
      <c r="A24" s="20" t="s">
        <v>38</v>
      </c>
      <c r="B24" s="20" t="s">
        <v>72</v>
      </c>
      <c r="C24" s="33" t="s">
        <v>73</v>
      </c>
      <c r="D24" s="25" t="s">
        <v>74</v>
      </c>
      <c r="E24" s="84"/>
      <c r="F24" s="27" t="s">
        <v>10</v>
      </c>
      <c r="G24" s="28"/>
    </row>
    <row r="25" ht="29.55" spans="1:7">
      <c r="A25" s="83" t="s">
        <v>75</v>
      </c>
      <c r="B25" s="83" t="s">
        <v>76</v>
      </c>
      <c r="C25" s="85" t="s">
        <v>77</v>
      </c>
      <c r="D25" s="86" t="s">
        <v>78</v>
      </c>
      <c r="E25" s="87"/>
      <c r="F25" s="88" t="s">
        <v>79</v>
      </c>
      <c r="G25" s="89"/>
    </row>
    <row r="26" ht="15.15" spans="1:7">
      <c r="A26" s="22" t="s">
        <v>43</v>
      </c>
      <c r="B26" s="23"/>
      <c r="C26" s="22"/>
      <c r="D26" s="86" t="s">
        <v>80</v>
      </c>
      <c r="E26" s="87"/>
      <c r="F26" s="90"/>
      <c r="G26" s="91"/>
    </row>
    <row r="27" spans="1:7">
      <c r="A27" s="17"/>
      <c r="G27" s="18"/>
    </row>
    <row r="28" ht="15.15" spans="1:7">
      <c r="A28" s="19" t="s">
        <v>81</v>
      </c>
      <c r="G28" s="18"/>
    </row>
    <row r="29" ht="15.15" spans="1:7">
      <c r="A29" s="20" t="s">
        <v>38</v>
      </c>
      <c r="B29" s="20" t="s">
        <v>82</v>
      </c>
      <c r="C29" s="20" t="s">
        <v>83</v>
      </c>
      <c r="D29" s="27" t="s">
        <v>84</v>
      </c>
      <c r="E29" s="28"/>
      <c r="F29" s="20" t="s">
        <v>10</v>
      </c>
      <c r="G29" s="20"/>
    </row>
    <row r="30" customFormat="1" ht="29.55" spans="1:7">
      <c r="A30" s="83" t="s">
        <v>75</v>
      </c>
      <c r="B30" s="83" t="s">
        <v>85</v>
      </c>
      <c r="C30" s="83" t="s">
        <v>86</v>
      </c>
      <c r="D30" s="86" t="s">
        <v>87</v>
      </c>
      <c r="E30" s="87"/>
      <c r="F30" s="88" t="s">
        <v>88</v>
      </c>
      <c r="G30" s="89"/>
    </row>
    <row r="31" customFormat="1" ht="15.15" spans="1:7">
      <c r="A31" s="22" t="s">
        <v>43</v>
      </c>
      <c r="B31" s="23"/>
      <c r="C31" s="22"/>
      <c r="D31" s="86" t="s">
        <v>89</v>
      </c>
      <c r="E31" s="87"/>
      <c r="F31" s="90"/>
      <c r="G31" s="91"/>
    </row>
    <row r="32" spans="1:7">
      <c r="A32" s="19"/>
      <c r="B32" s="35"/>
      <c r="C32" s="36"/>
      <c r="D32" s="37"/>
      <c r="E32" s="37"/>
      <c r="F32" s="36"/>
      <c r="G32" s="38"/>
    </row>
    <row r="33" ht="15.15" spans="1:7">
      <c r="A33" s="19" t="s">
        <v>90</v>
      </c>
      <c r="B33" s="21"/>
      <c r="C33" s="39"/>
      <c r="D33" s="21"/>
      <c r="E33" s="21"/>
      <c r="F33" s="21"/>
      <c r="G33" s="18"/>
    </row>
    <row r="34" ht="15.15" spans="1:7">
      <c r="A34" s="20" t="s">
        <v>91</v>
      </c>
      <c r="B34" s="20" t="s">
        <v>37</v>
      </c>
      <c r="C34" s="20" t="s">
        <v>53</v>
      </c>
      <c r="D34" s="27" t="s">
        <v>62</v>
      </c>
      <c r="E34" s="27" t="s">
        <v>71</v>
      </c>
      <c r="F34" s="20" t="s">
        <v>81</v>
      </c>
      <c r="G34" s="20" t="s">
        <v>92</v>
      </c>
    </row>
    <row r="35" ht="29.55" spans="1:8">
      <c r="A35" s="22" t="s">
        <v>93</v>
      </c>
      <c r="B35" s="83" t="s">
        <v>94</v>
      </c>
      <c r="C35" s="83" t="s">
        <v>95</v>
      </c>
      <c r="D35" s="83" t="s">
        <v>96</v>
      </c>
      <c r="E35" s="83" t="s">
        <v>97</v>
      </c>
      <c r="F35" s="83" t="s">
        <v>98</v>
      </c>
      <c r="G35" s="92" t="s">
        <v>99</v>
      </c>
      <c r="H35" s="21"/>
    </row>
    <row r="36" ht="29.55" spans="1:7">
      <c r="A36" s="22" t="s">
        <v>100</v>
      </c>
      <c r="B36" s="83" t="s">
        <v>101</v>
      </c>
      <c r="C36" s="83" t="s">
        <v>102</v>
      </c>
      <c r="D36" s="83" t="s">
        <v>103</v>
      </c>
      <c r="E36" s="83" t="s">
        <v>104</v>
      </c>
      <c r="F36" s="83" t="s">
        <v>105</v>
      </c>
      <c r="G36" s="47">
        <v>1</v>
      </c>
    </row>
    <row r="37" spans="1:7">
      <c r="A37" s="21"/>
      <c r="B37" s="21"/>
      <c r="C37" s="39"/>
      <c r="D37" s="21"/>
      <c r="E37" s="21"/>
      <c r="F37" s="21"/>
      <c r="G37" s="21"/>
    </row>
    <row r="38" spans="1:7">
      <c r="A38" s="48"/>
      <c r="B38" s="49"/>
      <c r="C38" s="49"/>
      <c r="D38" s="49"/>
      <c r="E38" s="48"/>
      <c r="F38" s="48"/>
      <c r="G38" s="48"/>
    </row>
  </sheetData>
  <mergeCells count="15">
    <mergeCell ref="A1:G1"/>
    <mergeCell ref="B6:D6"/>
    <mergeCell ref="D24:E24"/>
    <mergeCell ref="F24:G24"/>
    <mergeCell ref="D25:E25"/>
    <mergeCell ref="F25:G25"/>
    <mergeCell ref="D26:E26"/>
    <mergeCell ref="F26:G26"/>
    <mergeCell ref="D29:E29"/>
    <mergeCell ref="F29:G29"/>
    <mergeCell ref="D30:E30"/>
    <mergeCell ref="F30:G30"/>
    <mergeCell ref="D31:E31"/>
    <mergeCell ref="F31:G31"/>
    <mergeCell ref="E2:G6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zoomScale="115" zoomScaleNormal="115" workbookViewId="0">
      <selection activeCell="C14" sqref="C14"/>
    </sheetView>
  </sheetViews>
  <sheetFormatPr defaultColWidth="8.88888888888889" defaultRowHeight="14.4"/>
  <cols>
    <col min="1" max="1" width="10.4814814814815" customWidth="1"/>
    <col min="2" max="2" width="17.5555555555556" customWidth="1"/>
    <col min="3" max="3" width="21.7777777777778" customWidth="1"/>
    <col min="4" max="4" width="19.6666666666667" customWidth="1"/>
    <col min="5" max="6" width="18.8888888888889" customWidth="1"/>
    <col min="7" max="7" width="17.25" customWidth="1"/>
    <col min="8" max="8" width="24.5092592592593" hidden="1" customWidth="1"/>
  </cols>
  <sheetData>
    <row r="1" ht="37" customHeight="1" spans="1:8">
      <c r="A1" s="51" t="s">
        <v>106</v>
      </c>
      <c r="B1" s="52"/>
      <c r="C1" s="52"/>
      <c r="D1" s="52"/>
      <c r="E1" s="52"/>
      <c r="F1" s="52"/>
      <c r="G1" s="52"/>
      <c r="H1" s="52"/>
    </row>
    <row r="2" ht="31" customHeight="1" spans="1:8">
      <c r="A2" s="53" t="s">
        <v>1</v>
      </c>
      <c r="B2" s="53"/>
      <c r="C2" s="54" t="s">
        <v>107</v>
      </c>
      <c r="D2" s="54"/>
      <c r="E2" s="54"/>
      <c r="F2" s="54"/>
      <c r="G2" s="54"/>
      <c r="H2" s="55"/>
    </row>
    <row r="3" ht="31" customHeight="1" spans="1:8">
      <c r="A3" s="56" t="s">
        <v>3</v>
      </c>
      <c r="B3" s="56" t="s">
        <v>4</v>
      </c>
      <c r="C3" s="56" t="s">
        <v>5</v>
      </c>
      <c r="D3" s="56" t="s">
        <v>6</v>
      </c>
      <c r="E3" s="56" t="s">
        <v>7</v>
      </c>
      <c r="F3" s="56" t="s">
        <v>8</v>
      </c>
      <c r="G3" s="57" t="s">
        <v>9</v>
      </c>
      <c r="H3" s="58" t="s">
        <v>10</v>
      </c>
    </row>
    <row r="4" s="50" customFormat="1" ht="47" customHeight="1" spans="1:13">
      <c r="A4" s="59">
        <v>1</v>
      </c>
      <c r="B4" s="59">
        <v>9095</v>
      </c>
      <c r="C4" s="59" t="s">
        <v>108</v>
      </c>
      <c r="D4" s="59" t="str">
        <f>_xlfn.DISPIMG("ID_5209F725665544D6BED45DB3EEA9F5C9",1)</f>
        <v>=DISPIMG("ID_5209F725665544D6BED45DB3EEA9F5C9",1)</v>
      </c>
      <c r="E4" s="59" t="s">
        <v>109</v>
      </c>
      <c r="F4" s="60">
        <v>45367</v>
      </c>
      <c r="G4" s="61">
        <v>672</v>
      </c>
      <c r="H4" s="62" t="s">
        <v>18</v>
      </c>
      <c r="I4"/>
      <c r="J4"/>
      <c r="K4"/>
      <c r="L4"/>
      <c r="M4"/>
    </row>
    <row r="5" s="50" customFormat="1" ht="49" customHeight="1" spans="1:8">
      <c r="A5" s="59">
        <v>2</v>
      </c>
      <c r="B5" s="63" t="s">
        <v>110</v>
      </c>
      <c r="C5" s="59" t="s">
        <v>108</v>
      </c>
      <c r="D5" s="59" t="str">
        <f>_xlfn.DISPIMG("ID_24664964365E4F34A7FC6A97FB19B26A",1)</f>
        <v>=DISPIMG("ID_24664964365E4F34A7FC6A97FB19B26A",1)</v>
      </c>
      <c r="E5" s="59" t="s">
        <v>111</v>
      </c>
      <c r="F5" s="60">
        <v>45379</v>
      </c>
      <c r="G5" s="64">
        <v>522</v>
      </c>
      <c r="H5" s="65" t="s">
        <v>19</v>
      </c>
    </row>
    <row r="6" ht="20" customHeight="1" spans="1:7">
      <c r="A6" s="66"/>
      <c r="B6" s="66"/>
      <c r="C6" s="66"/>
      <c r="D6" s="66"/>
      <c r="E6" s="66"/>
      <c r="F6" s="66"/>
      <c r="G6" s="66"/>
    </row>
    <row r="7" ht="31" customHeight="1" spans="1:8">
      <c r="A7" s="53" t="s">
        <v>1</v>
      </c>
      <c r="B7" s="53"/>
      <c r="C7" s="54" t="s">
        <v>112</v>
      </c>
      <c r="D7" s="54"/>
      <c r="E7" s="54"/>
      <c r="F7" s="54"/>
      <c r="G7" s="54"/>
      <c r="H7" s="55"/>
    </row>
    <row r="8" ht="31" customHeight="1" spans="1:8">
      <c r="A8" s="56" t="s">
        <v>3</v>
      </c>
      <c r="B8" s="56" t="s">
        <v>4</v>
      </c>
      <c r="C8" s="56" t="s">
        <v>5</v>
      </c>
      <c r="D8" s="56" t="s">
        <v>6</v>
      </c>
      <c r="E8" s="56" t="s">
        <v>113</v>
      </c>
      <c r="F8" s="56" t="s">
        <v>8</v>
      </c>
      <c r="G8" s="57" t="s">
        <v>9</v>
      </c>
      <c r="H8" s="58" t="s">
        <v>10</v>
      </c>
    </row>
    <row r="9" s="50" customFormat="1" ht="47" customHeight="1" spans="1:13">
      <c r="A9" s="59">
        <v>1</v>
      </c>
      <c r="B9" s="59">
        <v>9095</v>
      </c>
      <c r="C9" s="59" t="s">
        <v>108</v>
      </c>
      <c r="D9" s="59" t="str">
        <f>_xlfn.DISPIMG("ID_24664964365E4F34A7FC6A97FB19B26A",1)</f>
        <v>=DISPIMG("ID_24664964365E4F34A7FC6A97FB19B26A",1)</v>
      </c>
      <c r="E9" s="59" t="s">
        <v>114</v>
      </c>
      <c r="F9" s="60">
        <v>45352</v>
      </c>
      <c r="G9" s="61">
        <v>711</v>
      </c>
      <c r="H9" s="62" t="s">
        <v>18</v>
      </c>
      <c r="I9"/>
      <c r="J9"/>
      <c r="K9"/>
      <c r="L9"/>
      <c r="M9"/>
    </row>
  </sheetData>
  <mergeCells count="5">
    <mergeCell ref="A1:H1"/>
    <mergeCell ref="A2:B2"/>
    <mergeCell ref="C2:G2"/>
    <mergeCell ref="A7:B7"/>
    <mergeCell ref="C7:G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zoomScale="130" zoomScaleNormal="130" topLeftCell="A41" workbookViewId="0">
      <selection activeCell="C61" sqref="C61"/>
    </sheetView>
  </sheetViews>
  <sheetFormatPr defaultColWidth="8.88888888888889" defaultRowHeight="14.4" outlineLevelCol="7"/>
  <cols>
    <col min="1" max="1" width="13" customWidth="1"/>
    <col min="2" max="2" width="23.3333333333333" customWidth="1"/>
    <col min="3" max="3" width="18.6666666666667" customWidth="1"/>
    <col min="4" max="4" width="15.7777777777778" customWidth="1"/>
    <col min="5" max="5" width="13.2222222222222" customWidth="1"/>
    <col min="6" max="6" width="15.7777777777778" customWidth="1"/>
    <col min="7" max="7" width="25.6666666666667" customWidth="1"/>
    <col min="8" max="8" width="18.2222222222222" customWidth="1"/>
  </cols>
  <sheetData>
    <row r="1" ht="22.95" spans="1:7">
      <c r="A1" s="1" t="s">
        <v>20</v>
      </c>
      <c r="B1" s="1"/>
      <c r="C1" s="1"/>
      <c r="D1" s="1"/>
      <c r="E1" s="1"/>
      <c r="F1" s="1"/>
      <c r="G1" s="1"/>
    </row>
    <row r="2" ht="15.15" spans="1:7">
      <c r="A2" s="2" t="s">
        <v>21</v>
      </c>
      <c r="B2" s="3" t="s">
        <v>115</v>
      </c>
      <c r="C2" s="4" t="s">
        <v>8</v>
      </c>
      <c r="D2" s="5">
        <v>45367</v>
      </c>
      <c r="E2" s="6" t="str">
        <f>_xlfn.DISPIMG("ID_1E1A9E32E1C048FE9248505E23DA067F",1)</f>
        <v>=DISPIMG("ID_1E1A9E32E1C048FE9248505E23DA067F",1)</v>
      </c>
      <c r="F2" s="6"/>
      <c r="G2" s="6"/>
    </row>
    <row r="3" ht="15.15" spans="1:7">
      <c r="A3" s="7" t="s">
        <v>4</v>
      </c>
      <c r="B3" s="8" t="s">
        <v>116</v>
      </c>
      <c r="C3" s="9" t="s">
        <v>26</v>
      </c>
      <c r="D3" s="7" t="s">
        <v>117</v>
      </c>
      <c r="E3" s="10"/>
      <c r="F3" s="10"/>
      <c r="G3" s="10"/>
    </row>
    <row r="4" ht="15.15" spans="1:7">
      <c r="A4" s="7" t="s">
        <v>28</v>
      </c>
      <c r="B4" s="11" t="s">
        <v>108</v>
      </c>
      <c r="C4" s="9" t="s">
        <v>30</v>
      </c>
      <c r="D4" s="7" t="s">
        <v>107</v>
      </c>
      <c r="E4" s="10"/>
      <c r="F4" s="10"/>
      <c r="G4" s="10"/>
    </row>
    <row r="5" ht="15.15" spans="1:7">
      <c r="A5" s="7" t="s">
        <v>32</v>
      </c>
      <c r="B5" s="7" t="s">
        <v>118</v>
      </c>
      <c r="C5" s="9" t="s">
        <v>34</v>
      </c>
      <c r="D5" s="3">
        <v>36</v>
      </c>
      <c r="E5" s="10"/>
      <c r="F5" s="10"/>
      <c r="G5" s="10"/>
    </row>
    <row r="6" ht="15.15" spans="1:7">
      <c r="A6" s="12" t="s">
        <v>10</v>
      </c>
      <c r="B6" s="13" t="s">
        <v>119</v>
      </c>
      <c r="C6" s="14"/>
      <c r="D6" s="15"/>
      <c r="E6" s="16"/>
      <c r="F6" s="16"/>
      <c r="G6" s="16"/>
    </row>
    <row r="7" spans="1:7">
      <c r="A7" s="17"/>
      <c r="G7" s="18"/>
    </row>
    <row r="8" ht="15.15" spans="1:7">
      <c r="A8" s="19" t="s">
        <v>37</v>
      </c>
      <c r="G8" s="18"/>
    </row>
    <row r="9" ht="15.15" spans="1:8">
      <c r="A9" s="20" t="s">
        <v>38</v>
      </c>
      <c r="B9" s="20" t="s">
        <v>39</v>
      </c>
      <c r="C9" s="20" t="s">
        <v>40</v>
      </c>
      <c r="D9" s="20" t="s">
        <v>41</v>
      </c>
      <c r="E9" s="20" t="s">
        <v>42</v>
      </c>
      <c r="F9" s="20" t="s">
        <v>43</v>
      </c>
      <c r="G9" s="20" t="s">
        <v>10</v>
      </c>
      <c r="H9" s="21"/>
    </row>
    <row r="10" ht="15.15" spans="1:8">
      <c r="A10" s="22">
        <v>1</v>
      </c>
      <c r="B10" s="22" t="s">
        <v>120</v>
      </c>
      <c r="C10" s="22">
        <v>145</v>
      </c>
      <c r="D10" s="22">
        <v>19</v>
      </c>
      <c r="E10" s="22">
        <v>2.02</v>
      </c>
      <c r="F10" s="22">
        <v>38.38</v>
      </c>
      <c r="G10" s="22" t="s">
        <v>121</v>
      </c>
      <c r="H10" s="21"/>
    </row>
    <row r="11" ht="15.15" spans="1:8">
      <c r="A11" s="22">
        <v>2</v>
      </c>
      <c r="B11" s="22" t="s">
        <v>122</v>
      </c>
      <c r="C11" s="23"/>
      <c r="D11" s="22">
        <v>0.08</v>
      </c>
      <c r="E11" s="22">
        <v>7</v>
      </c>
      <c r="F11" s="22">
        <v>0.56</v>
      </c>
      <c r="G11" s="23"/>
      <c r="H11" s="21"/>
    </row>
    <row r="12" ht="15.15" spans="1:7">
      <c r="A12" s="22">
        <v>3</v>
      </c>
      <c r="B12" s="22" t="s">
        <v>123</v>
      </c>
      <c r="C12" s="23"/>
      <c r="D12" s="22">
        <v>2.5</v>
      </c>
      <c r="E12" s="22">
        <v>2</v>
      </c>
      <c r="F12" s="22">
        <v>5</v>
      </c>
      <c r="G12" s="22" t="s">
        <v>121</v>
      </c>
    </row>
    <row r="13" ht="15.15" spans="1:7">
      <c r="A13" s="22">
        <v>4</v>
      </c>
      <c r="B13" s="22" t="s">
        <v>124</v>
      </c>
      <c r="C13" s="23"/>
      <c r="D13" s="22">
        <v>0.7</v>
      </c>
      <c r="E13" s="22">
        <v>1</v>
      </c>
      <c r="F13" s="22">
        <v>0.7</v>
      </c>
      <c r="G13" s="23"/>
    </row>
    <row r="14" ht="15.15" spans="1:7">
      <c r="A14" s="22">
        <v>5</v>
      </c>
      <c r="B14" s="22" t="s">
        <v>125</v>
      </c>
      <c r="C14" s="23"/>
      <c r="D14" s="23">
        <v>1</v>
      </c>
      <c r="E14" s="22">
        <v>1</v>
      </c>
      <c r="F14" s="22">
        <v>1</v>
      </c>
      <c r="G14" s="22" t="s">
        <v>126</v>
      </c>
    </row>
    <row r="15" ht="15.15" spans="1:7">
      <c r="A15" s="22">
        <v>6</v>
      </c>
      <c r="B15" s="22" t="s">
        <v>127</v>
      </c>
      <c r="C15" s="23"/>
      <c r="D15" s="23">
        <v>2</v>
      </c>
      <c r="E15" s="22">
        <v>2</v>
      </c>
      <c r="F15" s="22">
        <v>4</v>
      </c>
      <c r="G15" s="22" t="s">
        <v>126</v>
      </c>
    </row>
    <row r="16" ht="15.15" spans="1:7">
      <c r="A16" s="22">
        <v>7</v>
      </c>
      <c r="B16" s="22" t="s">
        <v>128</v>
      </c>
      <c r="C16" s="23"/>
      <c r="D16" s="23">
        <v>1</v>
      </c>
      <c r="E16" s="22">
        <v>1</v>
      </c>
      <c r="F16" s="22">
        <v>1</v>
      </c>
      <c r="G16" s="22" t="s">
        <v>126</v>
      </c>
    </row>
    <row r="17" ht="15.15" spans="1:7">
      <c r="A17" s="22">
        <v>8</v>
      </c>
      <c r="B17" s="22" t="s">
        <v>129</v>
      </c>
      <c r="C17" s="23"/>
      <c r="D17" s="22">
        <v>0.1</v>
      </c>
      <c r="E17" s="22">
        <v>1</v>
      </c>
      <c r="F17" s="22">
        <v>0.1</v>
      </c>
      <c r="G17" s="23"/>
    </row>
    <row r="18" ht="15.15" spans="1:7">
      <c r="A18" s="22">
        <v>9</v>
      </c>
      <c r="B18" s="22" t="s">
        <v>130</v>
      </c>
      <c r="C18" s="23"/>
      <c r="D18" s="22">
        <v>0.1</v>
      </c>
      <c r="E18" s="22">
        <v>1</v>
      </c>
      <c r="F18" s="22">
        <v>0.1</v>
      </c>
      <c r="G18" s="23"/>
    </row>
    <row r="19" ht="15.15" spans="1:7">
      <c r="A19" s="22">
        <v>10</v>
      </c>
      <c r="B19" s="22" t="s">
        <v>131</v>
      </c>
      <c r="C19" s="23"/>
      <c r="D19" s="22">
        <v>0.6</v>
      </c>
      <c r="E19" s="22">
        <v>1</v>
      </c>
      <c r="F19" s="22">
        <v>0.6</v>
      </c>
      <c r="G19" s="22" t="s">
        <v>132</v>
      </c>
    </row>
    <row r="20" ht="15.15" spans="1:7">
      <c r="A20" s="22">
        <v>11</v>
      </c>
      <c r="B20" s="22" t="s">
        <v>133</v>
      </c>
      <c r="C20" s="23"/>
      <c r="D20" s="22">
        <v>0.8</v>
      </c>
      <c r="E20" s="22">
        <v>1</v>
      </c>
      <c r="F20" s="22">
        <v>0.8</v>
      </c>
      <c r="G20" s="23"/>
    </row>
    <row r="21" ht="15.15" spans="1:7">
      <c r="A21" s="22">
        <v>12</v>
      </c>
      <c r="B21" s="22" t="s">
        <v>134</v>
      </c>
      <c r="C21" s="23"/>
      <c r="D21" s="22">
        <v>0.3</v>
      </c>
      <c r="E21" s="22">
        <v>1</v>
      </c>
      <c r="F21" s="22">
        <v>0.3</v>
      </c>
      <c r="G21" s="23"/>
    </row>
    <row r="22" ht="15.15" spans="1:7">
      <c r="A22" s="22">
        <v>13</v>
      </c>
      <c r="B22" s="22" t="s">
        <v>135</v>
      </c>
      <c r="C22" s="23"/>
      <c r="D22" s="22">
        <v>0.35</v>
      </c>
      <c r="E22" s="22">
        <v>1</v>
      </c>
      <c r="F22" s="22">
        <v>0.35</v>
      </c>
      <c r="G22" s="23"/>
    </row>
    <row r="23" ht="15.15" spans="1:7">
      <c r="A23" s="22">
        <v>14</v>
      </c>
      <c r="B23" s="22" t="s">
        <v>136</v>
      </c>
      <c r="C23" s="23"/>
      <c r="D23" s="22">
        <v>2</v>
      </c>
      <c r="E23" s="22">
        <v>1</v>
      </c>
      <c r="F23" s="22">
        <v>2</v>
      </c>
      <c r="G23" s="23"/>
    </row>
    <row r="24" ht="15.15" spans="1:7">
      <c r="A24" s="22" t="s">
        <v>51</v>
      </c>
      <c r="B24" s="23"/>
      <c r="C24" s="23"/>
      <c r="D24" s="23"/>
      <c r="E24" s="23"/>
      <c r="F24" s="22">
        <v>48.89</v>
      </c>
      <c r="G24" s="23"/>
    </row>
    <row r="25" spans="1:7">
      <c r="A25" s="17"/>
      <c r="G25" s="18"/>
    </row>
    <row r="26" ht="15.15" spans="1:7">
      <c r="A26" s="19" t="s">
        <v>53</v>
      </c>
      <c r="G26" s="18"/>
    </row>
    <row r="27" ht="15.15" spans="1:7">
      <c r="A27" s="20" t="s">
        <v>38</v>
      </c>
      <c r="B27" s="20" t="s">
        <v>39</v>
      </c>
      <c r="C27" s="20" t="s">
        <v>40</v>
      </c>
      <c r="D27" s="20" t="s">
        <v>41</v>
      </c>
      <c r="E27" s="20" t="s">
        <v>42</v>
      </c>
      <c r="F27" s="20" t="s">
        <v>43</v>
      </c>
      <c r="G27" s="20" t="s">
        <v>10</v>
      </c>
    </row>
    <row r="28" ht="15.15" spans="1:7">
      <c r="A28" s="22">
        <v>1</v>
      </c>
      <c r="B28" s="22" t="s">
        <v>129</v>
      </c>
      <c r="C28" s="22">
        <v>12</v>
      </c>
      <c r="D28" s="22">
        <v>19</v>
      </c>
      <c r="E28" s="22">
        <v>2.02</v>
      </c>
      <c r="F28" s="22">
        <v>38.38</v>
      </c>
      <c r="G28" s="22" t="s">
        <v>121</v>
      </c>
    </row>
    <row r="29" ht="15.15" spans="1:7">
      <c r="A29" s="22">
        <v>2</v>
      </c>
      <c r="B29" s="22" t="s">
        <v>130</v>
      </c>
      <c r="C29" s="23">
        <v>18</v>
      </c>
      <c r="D29" s="22">
        <v>0.08</v>
      </c>
      <c r="E29" s="22">
        <v>7</v>
      </c>
      <c r="F29" s="22">
        <v>0.56</v>
      </c>
      <c r="G29" s="23"/>
    </row>
    <row r="30" ht="15.15" spans="1:7">
      <c r="A30" s="22">
        <v>3</v>
      </c>
      <c r="B30" s="22" t="s">
        <v>133</v>
      </c>
      <c r="C30" s="23">
        <v>12</v>
      </c>
      <c r="D30" s="22">
        <v>2.5</v>
      </c>
      <c r="E30" s="22">
        <v>2</v>
      </c>
      <c r="F30" s="22">
        <v>5</v>
      </c>
      <c r="G30" s="22" t="s">
        <v>121</v>
      </c>
    </row>
    <row r="31" ht="15.15" spans="1:7">
      <c r="A31" s="22">
        <v>4</v>
      </c>
      <c r="B31" s="22" t="s">
        <v>134</v>
      </c>
      <c r="C31" s="23">
        <v>142</v>
      </c>
      <c r="D31" s="22">
        <v>0.7</v>
      </c>
      <c r="E31" s="22">
        <v>1</v>
      </c>
      <c r="F31" s="22">
        <v>0.7</v>
      </c>
      <c r="G31" s="23"/>
    </row>
    <row r="32" ht="15.15" spans="1:7">
      <c r="A32" s="22">
        <v>5</v>
      </c>
      <c r="B32" s="22" t="s">
        <v>122</v>
      </c>
      <c r="C32" s="23">
        <v>150</v>
      </c>
      <c r="D32" s="22">
        <v>0.08</v>
      </c>
      <c r="E32" s="22">
        <v>7</v>
      </c>
      <c r="F32" s="22">
        <v>0.56</v>
      </c>
      <c r="G32" s="23"/>
    </row>
    <row r="33" ht="15.15" spans="1:7">
      <c r="A33" s="22">
        <v>6</v>
      </c>
      <c r="B33" s="22" t="s">
        <v>123</v>
      </c>
      <c r="C33" s="23" t="s">
        <v>137</v>
      </c>
      <c r="D33" s="22">
        <v>2.5</v>
      </c>
      <c r="E33" s="22">
        <v>2</v>
      </c>
      <c r="F33" s="22">
        <v>5</v>
      </c>
      <c r="G33" s="22" t="s">
        <v>121</v>
      </c>
    </row>
    <row r="34" ht="15.15" spans="1:7">
      <c r="A34" s="22">
        <v>7</v>
      </c>
      <c r="B34" s="22" t="s">
        <v>124</v>
      </c>
      <c r="C34" s="23" t="s">
        <v>138</v>
      </c>
      <c r="D34" s="22">
        <v>0.7</v>
      </c>
      <c r="E34" s="22">
        <v>1</v>
      </c>
      <c r="F34" s="22">
        <v>0.7</v>
      </c>
      <c r="G34" s="23"/>
    </row>
    <row r="35" ht="15.15" spans="1:7">
      <c r="A35" s="22">
        <v>8</v>
      </c>
      <c r="B35" s="22" t="s">
        <v>125</v>
      </c>
      <c r="C35" s="22" t="s">
        <v>139</v>
      </c>
      <c r="D35" s="23">
        <v>1</v>
      </c>
      <c r="E35" s="22">
        <v>1</v>
      </c>
      <c r="F35" s="22">
        <v>0.05</v>
      </c>
      <c r="G35" s="22" t="s">
        <v>126</v>
      </c>
    </row>
    <row r="36" ht="15.15" spans="1:7">
      <c r="A36" s="22">
        <v>9</v>
      </c>
      <c r="B36" s="22" t="s">
        <v>127</v>
      </c>
      <c r="C36" s="22" t="s">
        <v>139</v>
      </c>
      <c r="D36" s="23">
        <v>1</v>
      </c>
      <c r="E36" s="22">
        <v>2</v>
      </c>
      <c r="F36" s="22">
        <v>0.06</v>
      </c>
      <c r="G36" s="22" t="s">
        <v>126</v>
      </c>
    </row>
    <row r="37" ht="15.15" spans="1:7">
      <c r="A37" s="22">
        <v>10</v>
      </c>
      <c r="B37" s="22" t="s">
        <v>128</v>
      </c>
      <c r="C37" s="22" t="s">
        <v>139</v>
      </c>
      <c r="D37" s="23">
        <v>1</v>
      </c>
      <c r="E37" s="22">
        <v>1</v>
      </c>
      <c r="F37" s="22">
        <v>0.07</v>
      </c>
      <c r="G37" s="22" t="s">
        <v>126</v>
      </c>
    </row>
    <row r="38" ht="15.15" spans="1:7">
      <c r="A38" s="22" t="s">
        <v>51</v>
      </c>
      <c r="B38" s="22"/>
      <c r="C38" s="22"/>
      <c r="D38" s="22"/>
      <c r="E38" s="22"/>
      <c r="F38" s="22">
        <v>39.89</v>
      </c>
      <c r="G38" s="22"/>
    </row>
    <row r="39" spans="1:7">
      <c r="A39" s="17"/>
      <c r="G39" s="18"/>
    </row>
    <row r="40" ht="15.15" spans="1:7">
      <c r="A40" s="19" t="s">
        <v>62</v>
      </c>
      <c r="G40" s="18"/>
    </row>
    <row r="41" ht="15.15" spans="1:7">
      <c r="A41" s="20" t="s">
        <v>38</v>
      </c>
      <c r="B41" s="20" t="s">
        <v>39</v>
      </c>
      <c r="C41" s="20" t="s">
        <v>40</v>
      </c>
      <c r="D41" s="20" t="s">
        <v>41</v>
      </c>
      <c r="E41" s="20" t="s">
        <v>42</v>
      </c>
      <c r="F41" s="20" t="s">
        <v>43</v>
      </c>
      <c r="G41" s="20" t="s">
        <v>10</v>
      </c>
    </row>
    <row r="42" ht="15.15" spans="1:7">
      <c r="A42" s="22">
        <v>1</v>
      </c>
      <c r="B42" s="22" t="s">
        <v>140</v>
      </c>
      <c r="C42" s="23" t="s">
        <v>141</v>
      </c>
      <c r="D42" s="22">
        <v>1</v>
      </c>
      <c r="E42" s="22">
        <v>2.02</v>
      </c>
      <c r="F42" s="22">
        <v>38.38</v>
      </c>
      <c r="G42" s="22" t="s">
        <v>121</v>
      </c>
    </row>
    <row r="43" ht="15.15" spans="1:7">
      <c r="A43" s="22">
        <v>2</v>
      </c>
      <c r="B43" s="22" t="s">
        <v>142</v>
      </c>
      <c r="C43" s="23" t="s">
        <v>143</v>
      </c>
      <c r="D43" s="22">
        <v>3</v>
      </c>
      <c r="E43" s="22">
        <v>7</v>
      </c>
      <c r="F43" s="22">
        <v>0.56</v>
      </c>
      <c r="G43" s="23"/>
    </row>
    <row r="44" ht="15.15" spans="1:7">
      <c r="A44" s="22">
        <v>3</v>
      </c>
      <c r="B44" s="22" t="s">
        <v>144</v>
      </c>
      <c r="C44" s="23">
        <v>2</v>
      </c>
      <c r="D44" s="22">
        <v>2</v>
      </c>
      <c r="E44" s="22">
        <v>2</v>
      </c>
      <c r="F44" s="22">
        <v>5</v>
      </c>
      <c r="G44" s="22" t="s">
        <v>121</v>
      </c>
    </row>
    <row r="45" ht="15.15" spans="1:7">
      <c r="A45" s="22">
        <v>4</v>
      </c>
      <c r="B45" s="22" t="s">
        <v>134</v>
      </c>
      <c r="C45" s="22" t="s">
        <v>139</v>
      </c>
      <c r="D45" s="22">
        <v>3</v>
      </c>
      <c r="E45" s="22">
        <v>1</v>
      </c>
      <c r="F45" s="22">
        <v>0.7</v>
      </c>
      <c r="G45" s="23"/>
    </row>
    <row r="46" ht="15.15" spans="1:7">
      <c r="A46" s="22" t="s">
        <v>51</v>
      </c>
      <c r="B46" s="22"/>
      <c r="C46" s="23"/>
      <c r="D46" s="22"/>
      <c r="E46" s="22"/>
      <c r="F46" s="22">
        <v>8.89</v>
      </c>
      <c r="G46" s="23"/>
    </row>
    <row r="47" spans="1:7">
      <c r="A47" s="17"/>
      <c r="G47" s="18"/>
    </row>
    <row r="48" ht="15.15" spans="1:7">
      <c r="A48" s="19" t="s">
        <v>71</v>
      </c>
      <c r="G48" s="18"/>
    </row>
    <row r="49" ht="15.15" spans="1:7">
      <c r="A49" s="20" t="s">
        <v>38</v>
      </c>
      <c r="B49" s="20" t="s">
        <v>72</v>
      </c>
      <c r="C49" s="24" t="s">
        <v>73</v>
      </c>
      <c r="D49" s="25" t="s">
        <v>74</v>
      </c>
      <c r="E49" s="26"/>
      <c r="F49" s="27" t="s">
        <v>10</v>
      </c>
      <c r="G49" s="28"/>
    </row>
    <row r="50" ht="15.15" spans="1:7">
      <c r="A50" s="22">
        <v>1</v>
      </c>
      <c r="B50" s="22" t="s">
        <v>145</v>
      </c>
      <c r="C50" s="23">
        <v>4250</v>
      </c>
      <c r="D50" s="25">
        <v>27.4</v>
      </c>
      <c r="E50" s="26"/>
      <c r="F50" s="29" t="s">
        <v>121</v>
      </c>
      <c r="G50" s="30"/>
    </row>
    <row r="51" ht="15.15" spans="1:7">
      <c r="A51" s="22">
        <v>2</v>
      </c>
      <c r="B51" s="22" t="s">
        <v>146</v>
      </c>
      <c r="C51" s="23">
        <v>5690</v>
      </c>
      <c r="D51" s="25">
        <v>28.7</v>
      </c>
      <c r="E51" s="26"/>
      <c r="F51" s="31"/>
      <c r="G51" s="32"/>
    </row>
    <row r="52" ht="15.15" spans="1:7">
      <c r="A52" s="22" t="s">
        <v>43</v>
      </c>
      <c r="B52" s="23"/>
      <c r="C52" s="22"/>
      <c r="D52" s="25">
        <v>56.1</v>
      </c>
      <c r="E52" s="26"/>
      <c r="F52" s="31"/>
      <c r="G52" s="32"/>
    </row>
    <row r="53" spans="1:7">
      <c r="A53" s="17"/>
      <c r="G53" s="18"/>
    </row>
    <row r="54" ht="15.15" spans="1:7">
      <c r="A54" s="19" t="s">
        <v>81</v>
      </c>
      <c r="G54" s="18"/>
    </row>
    <row r="55" ht="15.15" spans="1:7">
      <c r="A55" s="20" t="s">
        <v>38</v>
      </c>
      <c r="B55" s="20" t="s">
        <v>82</v>
      </c>
      <c r="C55" s="20" t="s">
        <v>83</v>
      </c>
      <c r="D55" s="27" t="s">
        <v>84</v>
      </c>
      <c r="E55" s="28"/>
      <c r="F55" s="20" t="s">
        <v>10</v>
      </c>
      <c r="G55" s="20"/>
    </row>
    <row r="56" ht="15.15" spans="1:7">
      <c r="A56" s="20">
        <v>1</v>
      </c>
      <c r="B56" s="20" t="s">
        <v>147</v>
      </c>
      <c r="C56" s="20" t="s">
        <v>148</v>
      </c>
      <c r="D56" s="33">
        <v>1</v>
      </c>
      <c r="E56" s="34"/>
      <c r="F56" s="20"/>
      <c r="G56" s="20"/>
    </row>
    <row r="57" ht="15.15" spans="1:7">
      <c r="A57" s="20">
        <v>2</v>
      </c>
      <c r="B57" s="20" t="s">
        <v>149</v>
      </c>
      <c r="C57" s="20" t="s">
        <v>150</v>
      </c>
      <c r="D57" s="33">
        <v>2</v>
      </c>
      <c r="E57" s="34"/>
      <c r="F57" s="20"/>
      <c r="G57" s="20"/>
    </row>
    <row r="58" ht="15.15" spans="1:7">
      <c r="A58" s="20" t="s">
        <v>43</v>
      </c>
      <c r="B58" s="24"/>
      <c r="C58" s="20"/>
      <c r="D58" s="33">
        <v>3</v>
      </c>
      <c r="E58" s="34"/>
      <c r="F58" s="20"/>
      <c r="G58" s="20"/>
    </row>
    <row r="59" spans="1:7">
      <c r="A59" s="19"/>
      <c r="B59" s="35"/>
      <c r="C59" s="36"/>
      <c r="D59" s="37"/>
      <c r="E59" s="37"/>
      <c r="F59" s="36"/>
      <c r="G59" s="38"/>
    </row>
    <row r="60" ht="15.15" spans="1:7">
      <c r="A60" s="19" t="s">
        <v>90</v>
      </c>
      <c r="B60" s="21"/>
      <c r="C60" s="39"/>
      <c r="D60" s="21"/>
      <c r="E60" s="21"/>
      <c r="F60" s="21"/>
      <c r="G60" s="18"/>
    </row>
    <row r="61" ht="15.15" spans="1:7">
      <c r="A61" s="20" t="s">
        <v>91</v>
      </c>
      <c r="B61" s="20" t="s">
        <v>37</v>
      </c>
      <c r="C61" s="20" t="s">
        <v>53</v>
      </c>
      <c r="D61" s="27" t="s">
        <v>62</v>
      </c>
      <c r="E61" s="27" t="s">
        <v>71</v>
      </c>
      <c r="F61" s="20" t="s">
        <v>81</v>
      </c>
      <c r="G61" s="40" t="s">
        <v>92</v>
      </c>
    </row>
    <row r="62" ht="15.15" spans="1:8">
      <c r="A62" s="22" t="s">
        <v>93</v>
      </c>
      <c r="B62" s="23">
        <v>39.95</v>
      </c>
      <c r="C62" s="23">
        <v>3.1</v>
      </c>
      <c r="D62" s="31">
        <v>5</v>
      </c>
      <c r="E62" s="33">
        <v>0</v>
      </c>
      <c r="F62" s="20">
        <v>5</v>
      </c>
      <c r="G62" s="41">
        <v>95</v>
      </c>
      <c r="H62" s="21"/>
    </row>
    <row r="63" ht="15.15" spans="1:7">
      <c r="A63" s="22" t="s">
        <v>100</v>
      </c>
      <c r="B63" s="42">
        <v>0.78</v>
      </c>
      <c r="C63" s="43">
        <v>0.0614</v>
      </c>
      <c r="D63" s="44">
        <v>0.0595</v>
      </c>
      <c r="E63" s="45">
        <v>0</v>
      </c>
      <c r="F63" s="46">
        <v>0.0991</v>
      </c>
      <c r="G63" s="47">
        <v>1</v>
      </c>
    </row>
    <row r="64" spans="1:7">
      <c r="A64" s="21"/>
      <c r="B64" s="21"/>
      <c r="C64" s="39"/>
      <c r="D64" s="21"/>
      <c r="E64" s="39"/>
      <c r="F64" s="21"/>
      <c r="G64" s="21"/>
    </row>
    <row r="65" spans="1:7">
      <c r="A65" s="48"/>
      <c r="B65" s="49"/>
      <c r="C65" s="49"/>
      <c r="D65" s="49"/>
      <c r="E65" s="48"/>
      <c r="F65" s="48"/>
      <c r="G65" s="48"/>
    </row>
  </sheetData>
  <mergeCells count="19">
    <mergeCell ref="A1:G1"/>
    <mergeCell ref="B6:D6"/>
    <mergeCell ref="D49:E49"/>
    <mergeCell ref="F49:G49"/>
    <mergeCell ref="D50:E50"/>
    <mergeCell ref="F50:G50"/>
    <mergeCell ref="D51:E51"/>
    <mergeCell ref="F51:G51"/>
    <mergeCell ref="D52:E52"/>
    <mergeCell ref="F52:G52"/>
    <mergeCell ref="D55:E55"/>
    <mergeCell ref="F55:G55"/>
    <mergeCell ref="D56:E56"/>
    <mergeCell ref="F56:G56"/>
    <mergeCell ref="D57:E57"/>
    <mergeCell ref="F57:G57"/>
    <mergeCell ref="D58:E58"/>
    <mergeCell ref="F58:G58"/>
    <mergeCell ref="E2:G6"/>
  </mergeCells>
  <pageMargins left="0.75" right="0.75" top="1" bottom="1" header="0.5" footer="0.5"/>
  <pageSetup paperSize="9" orientation="portrait"/>
  <headerFooter/>
  <ignoredErrors>
    <ignoredError sqref="B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zoomScale="130" zoomScaleNormal="130" topLeftCell="A47" workbookViewId="0">
      <selection activeCell="C77" sqref="C77"/>
    </sheetView>
  </sheetViews>
  <sheetFormatPr defaultColWidth="8.88888888888889" defaultRowHeight="14.4" outlineLevelCol="7"/>
  <cols>
    <col min="1" max="1" width="13" customWidth="1"/>
    <col min="2" max="2" width="23.3333333333333" customWidth="1"/>
    <col min="3" max="3" width="18.6666666666667" customWidth="1"/>
    <col min="4" max="4" width="15.7777777777778" customWidth="1"/>
    <col min="5" max="5" width="13.2222222222222" customWidth="1"/>
    <col min="6" max="6" width="15.7777777777778" customWidth="1"/>
    <col min="7" max="7" width="25.6666666666667" customWidth="1"/>
    <col min="8" max="8" width="18.2222222222222" customWidth="1"/>
  </cols>
  <sheetData>
    <row r="1" ht="22.95" spans="1:7">
      <c r="A1" s="1" t="s">
        <v>20</v>
      </c>
      <c r="B1" s="1"/>
      <c r="C1" s="1"/>
      <c r="D1" s="1"/>
      <c r="E1" s="1"/>
      <c r="F1" s="1"/>
      <c r="G1" s="1"/>
    </row>
    <row r="2" ht="15.15" spans="1:7">
      <c r="A2" s="2" t="s">
        <v>21</v>
      </c>
      <c r="B2" s="3" t="s">
        <v>151</v>
      </c>
      <c r="C2" s="4" t="s">
        <v>8</v>
      </c>
      <c r="D2" s="5">
        <v>45379</v>
      </c>
      <c r="E2" s="6" t="str">
        <f>_xlfn.DISPIMG("ID_1E1A9E32E1C048FE9248505E23DA067F",1)</f>
        <v>=DISPIMG("ID_1E1A9E32E1C048FE9248505E23DA067F",1)</v>
      </c>
      <c r="F2" s="6"/>
      <c r="G2" s="6"/>
    </row>
    <row r="3" ht="15.15" spans="1:7">
      <c r="A3" s="7" t="s">
        <v>4</v>
      </c>
      <c r="B3" s="8" t="s">
        <v>110</v>
      </c>
      <c r="C3" s="9" t="s">
        <v>26</v>
      </c>
      <c r="D3" s="7" t="s">
        <v>117</v>
      </c>
      <c r="E3" s="10"/>
      <c r="F3" s="10"/>
      <c r="G3" s="10"/>
    </row>
    <row r="4" ht="15.15" spans="1:7">
      <c r="A4" s="7" t="s">
        <v>28</v>
      </c>
      <c r="B4" s="11" t="s">
        <v>108</v>
      </c>
      <c r="C4" s="9" t="s">
        <v>30</v>
      </c>
      <c r="D4" s="7" t="s">
        <v>107</v>
      </c>
      <c r="E4" s="10"/>
      <c r="F4" s="10"/>
      <c r="G4" s="10"/>
    </row>
    <row r="5" ht="15.15" spans="1:7">
      <c r="A5" s="7" t="s">
        <v>32</v>
      </c>
      <c r="B5" s="7" t="s">
        <v>118</v>
      </c>
      <c r="C5" s="9" t="s">
        <v>34</v>
      </c>
      <c r="D5" s="3">
        <v>36</v>
      </c>
      <c r="E5" s="10"/>
      <c r="F5" s="10"/>
      <c r="G5" s="10"/>
    </row>
    <row r="6" ht="15.15" spans="1:7">
      <c r="A6" s="12" t="s">
        <v>10</v>
      </c>
      <c r="B6" s="13"/>
      <c r="C6" s="14"/>
      <c r="D6" s="15"/>
      <c r="E6" s="16"/>
      <c r="F6" s="16"/>
      <c r="G6" s="16"/>
    </row>
    <row r="7" spans="1:7">
      <c r="A7" s="17"/>
      <c r="G7" s="18"/>
    </row>
    <row r="8" ht="15.15" spans="1:7">
      <c r="A8" s="19" t="s">
        <v>37</v>
      </c>
      <c r="G8" s="18"/>
    </row>
    <row r="9" ht="15.15" spans="1:8">
      <c r="A9" s="20" t="s">
        <v>38</v>
      </c>
      <c r="B9" s="20" t="s">
        <v>39</v>
      </c>
      <c r="C9" s="20" t="s">
        <v>40</v>
      </c>
      <c r="D9" s="20" t="s">
        <v>41</v>
      </c>
      <c r="E9" s="20" t="s">
        <v>42</v>
      </c>
      <c r="F9" s="20" t="s">
        <v>43</v>
      </c>
      <c r="G9" s="20" t="s">
        <v>10</v>
      </c>
      <c r="H9" s="21"/>
    </row>
    <row r="10" ht="15.15" spans="1:8">
      <c r="A10" s="22">
        <v>1</v>
      </c>
      <c r="B10" s="22" t="s">
        <v>120</v>
      </c>
      <c r="C10" s="22">
        <v>145</v>
      </c>
      <c r="D10" s="22">
        <v>19</v>
      </c>
      <c r="E10" s="22">
        <v>2.02</v>
      </c>
      <c r="F10" s="22">
        <v>38.38</v>
      </c>
      <c r="G10" s="22" t="s">
        <v>121</v>
      </c>
      <c r="H10" s="21"/>
    </row>
    <row r="11" ht="15.15" spans="1:8">
      <c r="A11" s="22">
        <v>2</v>
      </c>
      <c r="B11" s="22" t="s">
        <v>122</v>
      </c>
      <c r="C11" s="23"/>
      <c r="D11" s="22">
        <v>0.08</v>
      </c>
      <c r="E11" s="22">
        <v>7</v>
      </c>
      <c r="F11" s="22">
        <v>0.56</v>
      </c>
      <c r="G11" s="23"/>
      <c r="H11" s="21"/>
    </row>
    <row r="12" ht="15.15" spans="1:7">
      <c r="A12" s="22">
        <v>3</v>
      </c>
      <c r="B12" s="22" t="s">
        <v>123</v>
      </c>
      <c r="C12" s="23"/>
      <c r="D12" s="22">
        <v>2.5</v>
      </c>
      <c r="E12" s="22">
        <v>2</v>
      </c>
      <c r="F12" s="22">
        <v>5</v>
      </c>
      <c r="G12" s="22" t="s">
        <v>121</v>
      </c>
    </row>
    <row r="13" ht="15.15" spans="1:7">
      <c r="A13" s="22">
        <v>4</v>
      </c>
      <c r="B13" s="22" t="s">
        <v>124</v>
      </c>
      <c r="C13" s="23"/>
      <c r="D13" s="22">
        <v>0.7</v>
      </c>
      <c r="E13" s="22">
        <v>1</v>
      </c>
      <c r="F13" s="22">
        <v>0.7</v>
      </c>
      <c r="G13" s="23"/>
    </row>
    <row r="14" ht="15.15" spans="1:7">
      <c r="A14" s="22">
        <v>5</v>
      </c>
      <c r="B14" s="22" t="s">
        <v>125</v>
      </c>
      <c r="C14" s="23"/>
      <c r="D14" s="23">
        <v>1</v>
      </c>
      <c r="E14" s="22">
        <v>1</v>
      </c>
      <c r="F14" s="22">
        <v>1</v>
      </c>
      <c r="G14" s="22" t="s">
        <v>126</v>
      </c>
    </row>
    <row r="15" ht="15.15" spans="1:7">
      <c r="A15" s="22">
        <v>6</v>
      </c>
      <c r="B15" s="22" t="s">
        <v>127</v>
      </c>
      <c r="C15" s="23"/>
      <c r="D15" s="23">
        <v>2</v>
      </c>
      <c r="E15" s="22">
        <v>2</v>
      </c>
      <c r="F15" s="22">
        <v>4</v>
      </c>
      <c r="G15" s="22" t="s">
        <v>126</v>
      </c>
    </row>
    <row r="16" ht="15.15" spans="1:7">
      <c r="A16" s="22">
        <v>7</v>
      </c>
      <c r="B16" s="22" t="s">
        <v>128</v>
      </c>
      <c r="C16" s="23"/>
      <c r="D16" s="23">
        <v>1</v>
      </c>
      <c r="E16" s="22">
        <v>1</v>
      </c>
      <c r="F16" s="22">
        <v>1</v>
      </c>
      <c r="G16" s="22" t="s">
        <v>126</v>
      </c>
    </row>
    <row r="17" ht="15.15" spans="1:7">
      <c r="A17" s="22">
        <v>8</v>
      </c>
      <c r="B17" s="22" t="s">
        <v>129</v>
      </c>
      <c r="C17" s="23"/>
      <c r="D17" s="22">
        <v>0.1</v>
      </c>
      <c r="E17" s="22">
        <v>1</v>
      </c>
      <c r="F17" s="22">
        <v>0.1</v>
      </c>
      <c r="G17" s="23"/>
    </row>
    <row r="18" ht="15.15" spans="1:7">
      <c r="A18" s="22">
        <v>9</v>
      </c>
      <c r="B18" s="22" t="s">
        <v>130</v>
      </c>
      <c r="C18" s="23"/>
      <c r="D18" s="22">
        <v>0.1</v>
      </c>
      <c r="E18" s="22">
        <v>1</v>
      </c>
      <c r="F18" s="22">
        <v>0.1</v>
      </c>
      <c r="G18" s="23"/>
    </row>
    <row r="19" ht="15.15" spans="1:7">
      <c r="A19" s="22">
        <v>10</v>
      </c>
      <c r="B19" s="22" t="s">
        <v>131</v>
      </c>
      <c r="C19" s="23"/>
      <c r="D19" s="22">
        <v>0.6</v>
      </c>
      <c r="E19" s="22">
        <v>1</v>
      </c>
      <c r="F19" s="22">
        <v>0.6</v>
      </c>
      <c r="G19" s="22" t="s">
        <v>132</v>
      </c>
    </row>
    <row r="20" ht="15.15" spans="1:7">
      <c r="A20" s="22">
        <v>11</v>
      </c>
      <c r="B20" s="22" t="s">
        <v>133</v>
      </c>
      <c r="C20" s="23"/>
      <c r="D20" s="22">
        <v>0.8</v>
      </c>
      <c r="E20" s="22">
        <v>1</v>
      </c>
      <c r="F20" s="22">
        <v>0.8</v>
      </c>
      <c r="G20" s="23"/>
    </row>
    <row r="21" ht="15.15" spans="1:7">
      <c r="A21" s="22">
        <v>12</v>
      </c>
      <c r="B21" s="22" t="s">
        <v>134</v>
      </c>
      <c r="C21" s="23"/>
      <c r="D21" s="22">
        <v>0.3</v>
      </c>
      <c r="E21" s="22">
        <v>1</v>
      </c>
      <c r="F21" s="22">
        <v>0.3</v>
      </c>
      <c r="G21" s="23"/>
    </row>
    <row r="22" ht="15.15" spans="1:7">
      <c r="A22" s="22">
        <v>13</v>
      </c>
      <c r="B22" s="22" t="s">
        <v>135</v>
      </c>
      <c r="C22" s="23"/>
      <c r="D22" s="22">
        <v>0.35</v>
      </c>
      <c r="E22" s="22">
        <v>1</v>
      </c>
      <c r="F22" s="22">
        <v>0.35</v>
      </c>
      <c r="G22" s="23"/>
    </row>
    <row r="23" ht="15.15" spans="1:7">
      <c r="A23" s="22">
        <v>14</v>
      </c>
      <c r="B23" s="22" t="s">
        <v>136</v>
      </c>
      <c r="C23" s="23"/>
      <c r="D23" s="22">
        <v>2</v>
      </c>
      <c r="E23" s="22">
        <v>1</v>
      </c>
      <c r="F23" s="22">
        <v>2</v>
      </c>
      <c r="G23" s="23"/>
    </row>
    <row r="24" ht="15.15" spans="1:7">
      <c r="A24" s="22" t="s">
        <v>51</v>
      </c>
      <c r="B24" s="23"/>
      <c r="C24" s="23"/>
      <c r="D24" s="23"/>
      <c r="E24" s="23"/>
      <c r="F24" s="22">
        <v>48.89</v>
      </c>
      <c r="G24" s="23"/>
    </row>
    <row r="25" spans="1:7">
      <c r="A25" s="17"/>
      <c r="G25" s="18"/>
    </row>
    <row r="26" ht="15.15" spans="1:7">
      <c r="A26" s="19" t="s">
        <v>53</v>
      </c>
      <c r="G26" s="18"/>
    </row>
    <row r="27" ht="15.15" spans="1:7">
      <c r="A27" s="20" t="s">
        <v>38</v>
      </c>
      <c r="B27" s="20" t="s">
        <v>39</v>
      </c>
      <c r="C27" s="20" t="s">
        <v>40</v>
      </c>
      <c r="D27" s="20" t="s">
        <v>41</v>
      </c>
      <c r="E27" s="20" t="s">
        <v>42</v>
      </c>
      <c r="F27" s="20" t="s">
        <v>43</v>
      </c>
      <c r="G27" s="20" t="s">
        <v>10</v>
      </c>
    </row>
    <row r="28" ht="15.15" spans="1:7">
      <c r="A28" s="22">
        <v>1</v>
      </c>
      <c r="B28" s="22" t="s">
        <v>129</v>
      </c>
      <c r="C28" s="22">
        <v>12</v>
      </c>
      <c r="D28" s="22">
        <v>19</v>
      </c>
      <c r="E28" s="22">
        <v>2.02</v>
      </c>
      <c r="F28" s="22">
        <v>38.38</v>
      </c>
      <c r="G28" s="22" t="s">
        <v>121</v>
      </c>
    </row>
    <row r="29" ht="15.15" spans="1:7">
      <c r="A29" s="22">
        <v>2</v>
      </c>
      <c r="B29" s="22" t="s">
        <v>130</v>
      </c>
      <c r="C29" s="23">
        <v>18</v>
      </c>
      <c r="D29" s="22">
        <v>0.08</v>
      </c>
      <c r="E29" s="22">
        <v>7</v>
      </c>
      <c r="F29" s="22">
        <v>0.56</v>
      </c>
      <c r="G29" s="23"/>
    </row>
    <row r="30" ht="15.15" spans="1:7">
      <c r="A30" s="22">
        <v>3</v>
      </c>
      <c r="B30" s="22" t="s">
        <v>133</v>
      </c>
      <c r="C30" s="23">
        <v>12</v>
      </c>
      <c r="D30" s="22">
        <v>2.5</v>
      </c>
      <c r="E30" s="22">
        <v>2</v>
      </c>
      <c r="F30" s="22">
        <v>5</v>
      </c>
      <c r="G30" s="22" t="s">
        <v>121</v>
      </c>
    </row>
    <row r="31" ht="15.15" spans="1:7">
      <c r="A31" s="22">
        <v>4</v>
      </c>
      <c r="B31" s="22" t="s">
        <v>134</v>
      </c>
      <c r="C31" s="23">
        <v>142</v>
      </c>
      <c r="D31" s="22">
        <v>0.7</v>
      </c>
      <c r="E31" s="22">
        <v>1</v>
      </c>
      <c r="F31" s="22">
        <v>0.7</v>
      </c>
      <c r="G31" s="23"/>
    </row>
    <row r="32" ht="15.15" spans="1:7">
      <c r="A32" s="22">
        <v>5</v>
      </c>
      <c r="B32" s="22" t="s">
        <v>122</v>
      </c>
      <c r="C32" s="23">
        <v>150</v>
      </c>
      <c r="D32" s="22">
        <v>0.08</v>
      </c>
      <c r="E32" s="22">
        <v>7</v>
      </c>
      <c r="F32" s="22">
        <v>0.56</v>
      </c>
      <c r="G32" s="23"/>
    </row>
    <row r="33" ht="15.15" spans="1:7">
      <c r="A33" s="22">
        <v>6</v>
      </c>
      <c r="B33" s="22" t="s">
        <v>123</v>
      </c>
      <c r="C33" s="23" t="s">
        <v>137</v>
      </c>
      <c r="D33" s="22">
        <v>2.5</v>
      </c>
      <c r="E33" s="22">
        <v>2</v>
      </c>
      <c r="F33" s="22">
        <v>5</v>
      </c>
      <c r="G33" s="22" t="s">
        <v>121</v>
      </c>
    </row>
    <row r="34" ht="15.15" spans="1:7">
      <c r="A34" s="22">
        <v>7</v>
      </c>
      <c r="B34" s="22" t="s">
        <v>124</v>
      </c>
      <c r="C34" s="23" t="s">
        <v>138</v>
      </c>
      <c r="D34" s="22">
        <v>0.7</v>
      </c>
      <c r="E34" s="22">
        <v>1</v>
      </c>
      <c r="F34" s="22">
        <v>0.7</v>
      </c>
      <c r="G34" s="23"/>
    </row>
    <row r="35" ht="15.15" spans="1:7">
      <c r="A35" s="22">
        <v>8</v>
      </c>
      <c r="B35" s="22" t="s">
        <v>125</v>
      </c>
      <c r="C35" s="22" t="s">
        <v>139</v>
      </c>
      <c r="D35" s="23">
        <v>1</v>
      </c>
      <c r="E35" s="22">
        <v>1</v>
      </c>
      <c r="F35" s="22">
        <v>0.05</v>
      </c>
      <c r="G35" s="22" t="s">
        <v>126</v>
      </c>
    </row>
    <row r="36" ht="15.15" spans="1:7">
      <c r="A36" s="22">
        <v>9</v>
      </c>
      <c r="B36" s="22" t="s">
        <v>127</v>
      </c>
      <c r="C36" s="22" t="s">
        <v>139</v>
      </c>
      <c r="D36" s="23">
        <v>1</v>
      </c>
      <c r="E36" s="22">
        <v>2</v>
      </c>
      <c r="F36" s="22">
        <v>0.06</v>
      </c>
      <c r="G36" s="22" t="s">
        <v>126</v>
      </c>
    </row>
    <row r="37" ht="15.15" spans="1:7">
      <c r="A37" s="22">
        <v>10</v>
      </c>
      <c r="B37" s="22" t="s">
        <v>128</v>
      </c>
      <c r="C37" s="22" t="s">
        <v>139</v>
      </c>
      <c r="D37" s="23">
        <v>1</v>
      </c>
      <c r="E37" s="22">
        <v>1</v>
      </c>
      <c r="F37" s="22">
        <v>0.07</v>
      </c>
      <c r="G37" s="22" t="s">
        <v>126</v>
      </c>
    </row>
    <row r="38" ht="15.15" spans="1:7">
      <c r="A38" s="22" t="s">
        <v>51</v>
      </c>
      <c r="B38" s="22"/>
      <c r="C38" s="22"/>
      <c r="D38" s="22"/>
      <c r="E38" s="22"/>
      <c r="F38" s="22">
        <v>39.89</v>
      </c>
      <c r="G38" s="22"/>
    </row>
    <row r="39" spans="1:7">
      <c r="A39" s="17"/>
      <c r="G39" s="18"/>
    </row>
    <row r="40" ht="15.15" spans="1:7">
      <c r="A40" s="19" t="s">
        <v>62</v>
      </c>
      <c r="G40" s="18"/>
    </row>
    <row r="41" ht="15.15" spans="1:7">
      <c r="A41" s="20" t="s">
        <v>38</v>
      </c>
      <c r="B41" s="20" t="s">
        <v>39</v>
      </c>
      <c r="C41" s="20" t="s">
        <v>40</v>
      </c>
      <c r="D41" s="20" t="s">
        <v>41</v>
      </c>
      <c r="E41" s="20" t="s">
        <v>42</v>
      </c>
      <c r="F41" s="20" t="s">
        <v>43</v>
      </c>
      <c r="G41" s="20" t="s">
        <v>10</v>
      </c>
    </row>
    <row r="42" ht="15.15" spans="1:7">
      <c r="A42" s="22">
        <v>1</v>
      </c>
      <c r="B42" s="22" t="s">
        <v>140</v>
      </c>
      <c r="C42" s="23" t="s">
        <v>141</v>
      </c>
      <c r="D42" s="22">
        <v>1</v>
      </c>
      <c r="E42" s="22">
        <v>2.02</v>
      </c>
      <c r="F42" s="22">
        <v>38.38</v>
      </c>
      <c r="G42" s="22" t="s">
        <v>121</v>
      </c>
    </row>
    <row r="43" ht="15.15" spans="1:7">
      <c r="A43" s="22">
        <v>2</v>
      </c>
      <c r="B43" s="22" t="s">
        <v>142</v>
      </c>
      <c r="C43" s="23" t="s">
        <v>143</v>
      </c>
      <c r="D43" s="22">
        <v>3</v>
      </c>
      <c r="E43" s="22">
        <v>7</v>
      </c>
      <c r="F43" s="22">
        <v>0.56</v>
      </c>
      <c r="G43" s="23"/>
    </row>
    <row r="44" ht="15.15" spans="1:7">
      <c r="A44" s="22">
        <v>3</v>
      </c>
      <c r="B44" s="22" t="s">
        <v>144</v>
      </c>
      <c r="C44" s="23">
        <v>2</v>
      </c>
      <c r="D44" s="22">
        <v>2</v>
      </c>
      <c r="E44" s="22">
        <v>2</v>
      </c>
      <c r="F44" s="22">
        <v>5</v>
      </c>
      <c r="G44" s="22" t="s">
        <v>121</v>
      </c>
    </row>
    <row r="45" ht="15.15" spans="1:7">
      <c r="A45" s="22">
        <v>4</v>
      </c>
      <c r="B45" s="22" t="s">
        <v>134</v>
      </c>
      <c r="C45" s="22" t="s">
        <v>139</v>
      </c>
      <c r="D45" s="22">
        <v>3</v>
      </c>
      <c r="E45" s="22">
        <v>1</v>
      </c>
      <c r="F45" s="22">
        <v>0.7</v>
      </c>
      <c r="G45" s="23"/>
    </row>
    <row r="46" ht="15.15" spans="1:7">
      <c r="A46" s="22" t="s">
        <v>51</v>
      </c>
      <c r="B46" s="22"/>
      <c r="C46" s="23"/>
      <c r="D46" s="22"/>
      <c r="E46" s="22"/>
      <c r="F46" s="22">
        <v>8.89</v>
      </c>
      <c r="G46" s="23"/>
    </row>
    <row r="47" spans="1:7">
      <c r="A47" s="17"/>
      <c r="G47" s="18"/>
    </row>
    <row r="48" ht="15.15" spans="1:7">
      <c r="A48" s="19" t="s">
        <v>71</v>
      </c>
      <c r="G48" s="18"/>
    </row>
    <row r="49" ht="15.15" spans="1:7">
      <c r="A49" s="20" t="s">
        <v>38</v>
      </c>
      <c r="B49" s="20" t="s">
        <v>72</v>
      </c>
      <c r="C49" s="24" t="s">
        <v>73</v>
      </c>
      <c r="D49" s="25" t="s">
        <v>74</v>
      </c>
      <c r="E49" s="26"/>
      <c r="F49" s="27" t="s">
        <v>10</v>
      </c>
      <c r="G49" s="28"/>
    </row>
    <row r="50" ht="15.15" spans="1:7">
      <c r="A50" s="22">
        <v>1</v>
      </c>
      <c r="B50" s="22" t="s">
        <v>145</v>
      </c>
      <c r="C50" s="23">
        <v>4250</v>
      </c>
      <c r="D50" s="25">
        <v>27.4</v>
      </c>
      <c r="E50" s="26"/>
      <c r="F50" s="29" t="s">
        <v>121</v>
      </c>
      <c r="G50" s="30"/>
    </row>
    <row r="51" ht="15.15" spans="1:7">
      <c r="A51" s="22">
        <v>2</v>
      </c>
      <c r="B51" s="22" t="s">
        <v>146</v>
      </c>
      <c r="C51" s="23">
        <v>5690</v>
      </c>
      <c r="D51" s="25">
        <v>28.7</v>
      </c>
      <c r="E51" s="26"/>
      <c r="F51" s="31"/>
      <c r="G51" s="32"/>
    </row>
    <row r="52" ht="15.15" spans="1:7">
      <c r="A52" s="22" t="s">
        <v>43</v>
      </c>
      <c r="B52" s="23"/>
      <c r="C52" s="22"/>
      <c r="D52" s="25">
        <v>56.1</v>
      </c>
      <c r="E52" s="26"/>
      <c r="F52" s="31"/>
      <c r="G52" s="32"/>
    </row>
    <row r="53" spans="1:7">
      <c r="A53" s="17"/>
      <c r="G53" s="18"/>
    </row>
    <row r="54" ht="15.15" spans="1:7">
      <c r="A54" s="19" t="s">
        <v>81</v>
      </c>
      <c r="G54" s="18"/>
    </row>
    <row r="55" ht="15.15" spans="1:7">
      <c r="A55" s="20" t="s">
        <v>38</v>
      </c>
      <c r="B55" s="20" t="s">
        <v>82</v>
      </c>
      <c r="C55" s="20" t="s">
        <v>83</v>
      </c>
      <c r="D55" s="27" t="s">
        <v>84</v>
      </c>
      <c r="E55" s="28"/>
      <c r="F55" s="20" t="s">
        <v>10</v>
      </c>
      <c r="G55" s="20"/>
    </row>
    <row r="56" ht="15.15" spans="1:7">
      <c r="A56" s="20">
        <v>1</v>
      </c>
      <c r="B56" s="20" t="s">
        <v>147</v>
      </c>
      <c r="C56" s="20" t="s">
        <v>148</v>
      </c>
      <c r="D56" s="33">
        <v>1</v>
      </c>
      <c r="E56" s="34"/>
      <c r="F56" s="20"/>
      <c r="G56" s="20"/>
    </row>
    <row r="57" ht="15.15" spans="1:7">
      <c r="A57" s="20">
        <v>2</v>
      </c>
      <c r="B57" s="20" t="s">
        <v>149</v>
      </c>
      <c r="C57" s="20" t="s">
        <v>150</v>
      </c>
      <c r="D57" s="33">
        <v>2</v>
      </c>
      <c r="E57" s="34"/>
      <c r="F57" s="20"/>
      <c r="G57" s="20"/>
    </row>
    <row r="58" ht="15.15" spans="1:7">
      <c r="A58" s="20" t="s">
        <v>43</v>
      </c>
      <c r="B58" s="24"/>
      <c r="C58" s="20"/>
      <c r="D58" s="33">
        <v>3</v>
      </c>
      <c r="E58" s="34"/>
      <c r="F58" s="20"/>
      <c r="G58" s="20"/>
    </row>
    <row r="59" spans="1:7">
      <c r="A59" s="19"/>
      <c r="B59" s="35"/>
      <c r="C59" s="36"/>
      <c r="D59" s="37"/>
      <c r="E59" s="37"/>
      <c r="F59" s="36"/>
      <c r="G59" s="38"/>
    </row>
    <row r="60" ht="15.15" spans="1:7">
      <c r="A60" s="19" t="s">
        <v>90</v>
      </c>
      <c r="B60" s="21"/>
      <c r="C60" s="39"/>
      <c r="D60" s="21"/>
      <c r="E60" s="21"/>
      <c r="F60" s="21"/>
      <c r="G60" s="18"/>
    </row>
    <row r="61" ht="15.15" spans="1:7">
      <c r="A61" s="20" t="s">
        <v>91</v>
      </c>
      <c r="B61" s="20" t="s">
        <v>37</v>
      </c>
      <c r="C61" s="20" t="s">
        <v>53</v>
      </c>
      <c r="D61" s="27" t="s">
        <v>62</v>
      </c>
      <c r="E61" s="27" t="s">
        <v>71</v>
      </c>
      <c r="F61" s="20" t="s">
        <v>81</v>
      </c>
      <c r="G61" s="40" t="s">
        <v>92</v>
      </c>
    </row>
    <row r="62" ht="15.15" spans="1:8">
      <c r="A62" s="22" t="s">
        <v>93</v>
      </c>
      <c r="B62" s="23">
        <v>39.95</v>
      </c>
      <c r="C62" s="23">
        <v>3.1</v>
      </c>
      <c r="D62" s="31">
        <v>5</v>
      </c>
      <c r="E62" s="33">
        <v>0</v>
      </c>
      <c r="F62" s="20">
        <v>5</v>
      </c>
      <c r="G62" s="41">
        <v>95</v>
      </c>
      <c r="H62" s="21"/>
    </row>
    <row r="63" ht="15.15" spans="1:7">
      <c r="A63" s="22" t="s">
        <v>100</v>
      </c>
      <c r="B63" s="42">
        <v>0.78</v>
      </c>
      <c r="C63" s="43">
        <v>0.0614</v>
      </c>
      <c r="D63" s="44">
        <v>0.0595</v>
      </c>
      <c r="E63" s="45">
        <v>0</v>
      </c>
      <c r="F63" s="46">
        <v>0.0991</v>
      </c>
      <c r="G63" s="47">
        <v>1</v>
      </c>
    </row>
    <row r="64" spans="1:7">
      <c r="A64" s="21"/>
      <c r="B64" s="21"/>
      <c r="C64" s="39"/>
      <c r="D64" s="21"/>
      <c r="E64" s="21"/>
      <c r="F64" s="21"/>
      <c r="G64" s="21"/>
    </row>
    <row r="65" spans="1:7">
      <c r="A65" s="48"/>
      <c r="B65" s="49"/>
      <c r="C65" s="49"/>
      <c r="D65" s="49"/>
      <c r="E65" s="48"/>
      <c r="F65" s="48"/>
      <c r="G65" s="48"/>
    </row>
  </sheetData>
  <mergeCells count="19">
    <mergeCell ref="A1:G1"/>
    <mergeCell ref="B6:D6"/>
    <mergeCell ref="D49:E49"/>
    <mergeCell ref="F49:G49"/>
    <mergeCell ref="D50:E50"/>
    <mergeCell ref="F50:G50"/>
    <mergeCell ref="D51:E51"/>
    <mergeCell ref="F51:G51"/>
    <mergeCell ref="D52:E52"/>
    <mergeCell ref="F52:G52"/>
    <mergeCell ref="D55:E55"/>
    <mergeCell ref="F55:G55"/>
    <mergeCell ref="D56:E56"/>
    <mergeCell ref="F56:G56"/>
    <mergeCell ref="D57:E57"/>
    <mergeCell ref="F57:G57"/>
    <mergeCell ref="D58:E58"/>
    <mergeCell ref="F58:G58"/>
    <mergeCell ref="E2:G6"/>
  </mergeCells>
  <pageMargins left="0.75" right="0.75" top="1" bottom="1" header="0.5" footer="0.5"/>
  <pageSetup paperSize="9" orientation="portrait"/>
  <headerFooter/>
  <ignoredErrors>
    <ignoredError sqref="B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zoomScale="130" zoomScaleNormal="130" topLeftCell="A43" workbookViewId="0">
      <selection activeCell="F62" sqref="F62:F63"/>
    </sheetView>
  </sheetViews>
  <sheetFormatPr defaultColWidth="8.88888888888889" defaultRowHeight="14.4" outlineLevelCol="7"/>
  <cols>
    <col min="1" max="1" width="13" customWidth="1"/>
    <col min="2" max="2" width="23.3333333333333" customWidth="1"/>
    <col min="3" max="3" width="18.6666666666667" customWidth="1"/>
    <col min="4" max="4" width="15.7777777777778" customWidth="1"/>
    <col min="5" max="5" width="13.2222222222222" customWidth="1"/>
    <col min="6" max="6" width="15.7777777777778" customWidth="1"/>
    <col min="7" max="7" width="25.6666666666667" customWidth="1"/>
    <col min="8" max="8" width="18.2222222222222" customWidth="1"/>
  </cols>
  <sheetData>
    <row r="1" ht="22.95" spans="1:7">
      <c r="A1" s="1" t="s">
        <v>20</v>
      </c>
      <c r="B1" s="1"/>
      <c r="C1" s="1"/>
      <c r="D1" s="1"/>
      <c r="E1" s="1"/>
      <c r="F1" s="1"/>
      <c r="G1" s="1"/>
    </row>
    <row r="2" ht="15.15" spans="1:7">
      <c r="A2" s="2" t="s">
        <v>21</v>
      </c>
      <c r="B2" s="3" t="s">
        <v>152</v>
      </c>
      <c r="C2" s="4" t="s">
        <v>8</v>
      </c>
      <c r="D2" s="5">
        <v>45352</v>
      </c>
      <c r="E2" s="6" t="str">
        <f>_xlfn.DISPIMG("ID_1E1A9E32E1C048FE9248505E23DA067F",1)</f>
        <v>=DISPIMG("ID_1E1A9E32E1C048FE9248505E23DA067F",1)</v>
      </c>
      <c r="F2" s="6"/>
      <c r="G2" s="6"/>
    </row>
    <row r="3" ht="15.15" spans="1:7">
      <c r="A3" s="7" t="s">
        <v>4</v>
      </c>
      <c r="B3" s="8" t="s">
        <v>116</v>
      </c>
      <c r="C3" s="9" t="s">
        <v>26</v>
      </c>
      <c r="D3" s="7" t="s">
        <v>117</v>
      </c>
      <c r="E3" s="10"/>
      <c r="F3" s="10"/>
      <c r="G3" s="10"/>
    </row>
    <row r="4" ht="15.15" spans="1:7">
      <c r="A4" s="7" t="s">
        <v>28</v>
      </c>
      <c r="B4" s="11" t="s">
        <v>108</v>
      </c>
      <c r="C4" s="9" t="s">
        <v>30</v>
      </c>
      <c r="D4" s="7" t="s">
        <v>112</v>
      </c>
      <c r="E4" s="10"/>
      <c r="F4" s="10"/>
      <c r="G4" s="10"/>
    </row>
    <row r="5" ht="15.15" spans="1:7">
      <c r="A5" s="7" t="s">
        <v>32</v>
      </c>
      <c r="B5" s="7" t="s">
        <v>118</v>
      </c>
      <c r="C5" s="9" t="s">
        <v>34</v>
      </c>
      <c r="D5" s="3">
        <v>36</v>
      </c>
      <c r="E5" s="10"/>
      <c r="F5" s="10"/>
      <c r="G5" s="10"/>
    </row>
    <row r="6" ht="15.15" spans="1:7">
      <c r="A6" s="12" t="s">
        <v>10</v>
      </c>
      <c r="B6" s="13" t="s">
        <v>153</v>
      </c>
      <c r="C6" s="14"/>
      <c r="D6" s="15"/>
      <c r="E6" s="16"/>
      <c r="F6" s="16"/>
      <c r="G6" s="16"/>
    </row>
    <row r="7" spans="1:7">
      <c r="A7" s="17"/>
      <c r="G7" s="18"/>
    </row>
    <row r="8" ht="15.15" spans="1:7">
      <c r="A8" s="19" t="s">
        <v>37</v>
      </c>
      <c r="G8" s="18"/>
    </row>
    <row r="9" ht="15.15" spans="1:8">
      <c r="A9" s="20" t="s">
        <v>38</v>
      </c>
      <c r="B9" s="20" t="s">
        <v>39</v>
      </c>
      <c r="C9" s="20" t="s">
        <v>40</v>
      </c>
      <c r="D9" s="20" t="s">
        <v>41</v>
      </c>
      <c r="E9" s="20" t="s">
        <v>42</v>
      </c>
      <c r="F9" s="20" t="s">
        <v>43</v>
      </c>
      <c r="G9" s="20" t="s">
        <v>10</v>
      </c>
      <c r="H9" s="21"/>
    </row>
    <row r="10" ht="15.15" spans="1:8">
      <c r="A10" s="22">
        <v>1</v>
      </c>
      <c r="B10" s="22" t="s">
        <v>120</v>
      </c>
      <c r="C10" s="22">
        <v>145</v>
      </c>
      <c r="D10" s="22">
        <v>19</v>
      </c>
      <c r="E10" s="22">
        <v>2.02</v>
      </c>
      <c r="F10" s="22">
        <v>38.38</v>
      </c>
      <c r="G10" s="22" t="s">
        <v>121</v>
      </c>
      <c r="H10" s="21"/>
    </row>
    <row r="11" ht="15.15" spans="1:8">
      <c r="A11" s="22">
        <v>2</v>
      </c>
      <c r="B11" s="22" t="s">
        <v>122</v>
      </c>
      <c r="C11" s="23"/>
      <c r="D11" s="22">
        <v>0.08</v>
      </c>
      <c r="E11" s="22">
        <v>7</v>
      </c>
      <c r="F11" s="22">
        <v>0.56</v>
      </c>
      <c r="G11" s="23"/>
      <c r="H11" s="21"/>
    </row>
    <row r="12" ht="15.15" spans="1:7">
      <c r="A12" s="22">
        <v>3</v>
      </c>
      <c r="B12" s="22" t="s">
        <v>123</v>
      </c>
      <c r="C12" s="23"/>
      <c r="D12" s="22">
        <v>2.5</v>
      </c>
      <c r="E12" s="22">
        <v>2</v>
      </c>
      <c r="F12" s="22">
        <v>5</v>
      </c>
      <c r="G12" s="22" t="s">
        <v>121</v>
      </c>
    </row>
    <row r="13" ht="15.15" spans="1:7">
      <c r="A13" s="22">
        <v>4</v>
      </c>
      <c r="B13" s="22" t="s">
        <v>124</v>
      </c>
      <c r="C13" s="23"/>
      <c r="D13" s="22">
        <v>0.7</v>
      </c>
      <c r="E13" s="22">
        <v>1</v>
      </c>
      <c r="F13" s="22">
        <v>0.7</v>
      </c>
      <c r="G13" s="23"/>
    </row>
    <row r="14" ht="15.15" spans="1:7">
      <c r="A14" s="22">
        <v>5</v>
      </c>
      <c r="B14" s="22" t="s">
        <v>125</v>
      </c>
      <c r="C14" s="23"/>
      <c r="D14" s="23">
        <v>1</v>
      </c>
      <c r="E14" s="22">
        <v>1</v>
      </c>
      <c r="F14" s="22">
        <v>1</v>
      </c>
      <c r="G14" s="22" t="s">
        <v>126</v>
      </c>
    </row>
    <row r="15" ht="15.15" spans="1:7">
      <c r="A15" s="22">
        <v>6</v>
      </c>
      <c r="B15" s="22" t="s">
        <v>127</v>
      </c>
      <c r="C15" s="23"/>
      <c r="D15" s="23">
        <v>2</v>
      </c>
      <c r="E15" s="22">
        <v>2</v>
      </c>
      <c r="F15" s="22">
        <v>4</v>
      </c>
      <c r="G15" s="22" t="s">
        <v>126</v>
      </c>
    </row>
    <row r="16" ht="15.15" spans="1:7">
      <c r="A16" s="22">
        <v>7</v>
      </c>
      <c r="B16" s="22" t="s">
        <v>128</v>
      </c>
      <c r="C16" s="23"/>
      <c r="D16" s="23">
        <v>1</v>
      </c>
      <c r="E16" s="22">
        <v>1</v>
      </c>
      <c r="F16" s="22">
        <v>1</v>
      </c>
      <c r="G16" s="22" t="s">
        <v>126</v>
      </c>
    </row>
    <row r="17" ht="15.15" spans="1:7">
      <c r="A17" s="22">
        <v>8</v>
      </c>
      <c r="B17" s="22" t="s">
        <v>129</v>
      </c>
      <c r="C17" s="23"/>
      <c r="D17" s="22">
        <v>0.1</v>
      </c>
      <c r="E17" s="22">
        <v>1</v>
      </c>
      <c r="F17" s="22">
        <v>0.1</v>
      </c>
      <c r="G17" s="23"/>
    </row>
    <row r="18" ht="15.15" spans="1:7">
      <c r="A18" s="22">
        <v>9</v>
      </c>
      <c r="B18" s="22" t="s">
        <v>130</v>
      </c>
      <c r="C18" s="23"/>
      <c r="D18" s="22">
        <v>0.1</v>
      </c>
      <c r="E18" s="22">
        <v>1</v>
      </c>
      <c r="F18" s="22">
        <v>0.1</v>
      </c>
      <c r="G18" s="23"/>
    </row>
    <row r="19" ht="15.15" spans="1:7">
      <c r="A19" s="22">
        <v>10</v>
      </c>
      <c r="B19" s="22" t="s">
        <v>131</v>
      </c>
      <c r="C19" s="23"/>
      <c r="D19" s="22">
        <v>0.6</v>
      </c>
      <c r="E19" s="22">
        <v>1</v>
      </c>
      <c r="F19" s="22">
        <v>0.6</v>
      </c>
      <c r="G19" s="22" t="s">
        <v>132</v>
      </c>
    </row>
    <row r="20" ht="15.15" spans="1:7">
      <c r="A20" s="22">
        <v>11</v>
      </c>
      <c r="B20" s="22" t="s">
        <v>133</v>
      </c>
      <c r="C20" s="23"/>
      <c r="D20" s="22">
        <v>0.8</v>
      </c>
      <c r="E20" s="22">
        <v>1</v>
      </c>
      <c r="F20" s="22">
        <v>0.8</v>
      </c>
      <c r="G20" s="23"/>
    </row>
    <row r="21" ht="15.15" spans="1:7">
      <c r="A21" s="22">
        <v>12</v>
      </c>
      <c r="B21" s="22" t="s">
        <v>134</v>
      </c>
      <c r="C21" s="23"/>
      <c r="D21" s="22">
        <v>0.3</v>
      </c>
      <c r="E21" s="22">
        <v>1</v>
      </c>
      <c r="F21" s="22">
        <v>0.3</v>
      </c>
      <c r="G21" s="23"/>
    </row>
    <row r="22" ht="15.15" spans="1:7">
      <c r="A22" s="22">
        <v>13</v>
      </c>
      <c r="B22" s="22" t="s">
        <v>135</v>
      </c>
      <c r="C22" s="23"/>
      <c r="D22" s="22">
        <v>0.35</v>
      </c>
      <c r="E22" s="22">
        <v>1</v>
      </c>
      <c r="F22" s="22">
        <v>0.35</v>
      </c>
      <c r="G22" s="23"/>
    </row>
    <row r="23" ht="15.15" spans="1:7">
      <c r="A23" s="22">
        <v>14</v>
      </c>
      <c r="B23" s="22" t="s">
        <v>136</v>
      </c>
      <c r="C23" s="23"/>
      <c r="D23" s="22">
        <v>2</v>
      </c>
      <c r="E23" s="22">
        <v>1</v>
      </c>
      <c r="F23" s="22">
        <v>2</v>
      </c>
      <c r="G23" s="23"/>
    </row>
    <row r="24" ht="15.15" spans="1:7">
      <c r="A24" s="22" t="s">
        <v>51</v>
      </c>
      <c r="B24" s="23"/>
      <c r="C24" s="23"/>
      <c r="D24" s="23"/>
      <c r="E24" s="23"/>
      <c r="F24" s="22">
        <v>48.89</v>
      </c>
      <c r="G24" s="23"/>
    </row>
    <row r="25" spans="1:7">
      <c r="A25" s="17"/>
      <c r="G25" s="18"/>
    </row>
    <row r="26" ht="15.15" spans="1:7">
      <c r="A26" s="19" t="s">
        <v>53</v>
      </c>
      <c r="G26" s="18"/>
    </row>
    <row r="27" ht="15.15" spans="1:7">
      <c r="A27" s="20" t="s">
        <v>38</v>
      </c>
      <c r="B27" s="20" t="s">
        <v>39</v>
      </c>
      <c r="C27" s="20" t="s">
        <v>40</v>
      </c>
      <c r="D27" s="20" t="s">
        <v>41</v>
      </c>
      <c r="E27" s="20" t="s">
        <v>42</v>
      </c>
      <c r="F27" s="20" t="s">
        <v>43</v>
      </c>
      <c r="G27" s="20" t="s">
        <v>10</v>
      </c>
    </row>
    <row r="28" ht="15.15" spans="1:7">
      <c r="A28" s="22">
        <v>1</v>
      </c>
      <c r="B28" s="22" t="s">
        <v>129</v>
      </c>
      <c r="C28" s="22">
        <v>12</v>
      </c>
      <c r="D28" s="22">
        <v>19</v>
      </c>
      <c r="E28" s="22">
        <v>2.02</v>
      </c>
      <c r="F28" s="22">
        <v>38.38</v>
      </c>
      <c r="G28" s="22" t="s">
        <v>121</v>
      </c>
    </row>
    <row r="29" ht="15.15" spans="1:7">
      <c r="A29" s="22">
        <v>2</v>
      </c>
      <c r="B29" s="22" t="s">
        <v>130</v>
      </c>
      <c r="C29" s="23">
        <v>18</v>
      </c>
      <c r="D29" s="22">
        <v>0.08</v>
      </c>
      <c r="E29" s="22">
        <v>7</v>
      </c>
      <c r="F29" s="22">
        <v>0.56</v>
      </c>
      <c r="G29" s="23"/>
    </row>
    <row r="30" ht="15.15" spans="1:7">
      <c r="A30" s="22">
        <v>3</v>
      </c>
      <c r="B30" s="22" t="s">
        <v>133</v>
      </c>
      <c r="C30" s="23">
        <v>12</v>
      </c>
      <c r="D30" s="22">
        <v>2.5</v>
      </c>
      <c r="E30" s="22">
        <v>2</v>
      </c>
      <c r="F30" s="22">
        <v>5</v>
      </c>
      <c r="G30" s="22" t="s">
        <v>121</v>
      </c>
    </row>
    <row r="31" ht="15.15" spans="1:7">
      <c r="A31" s="22">
        <v>4</v>
      </c>
      <c r="B31" s="22" t="s">
        <v>134</v>
      </c>
      <c r="C31" s="23">
        <v>142</v>
      </c>
      <c r="D31" s="22">
        <v>0.7</v>
      </c>
      <c r="E31" s="22">
        <v>1</v>
      </c>
      <c r="F31" s="22">
        <v>0.7</v>
      </c>
      <c r="G31" s="23"/>
    </row>
    <row r="32" ht="15.15" spans="1:7">
      <c r="A32" s="22">
        <v>5</v>
      </c>
      <c r="B32" s="22" t="s">
        <v>122</v>
      </c>
      <c r="C32" s="23">
        <v>150</v>
      </c>
      <c r="D32" s="22">
        <v>0.08</v>
      </c>
      <c r="E32" s="22">
        <v>7</v>
      </c>
      <c r="F32" s="22">
        <v>0.56</v>
      </c>
      <c r="G32" s="23"/>
    </row>
    <row r="33" ht="15.15" spans="1:7">
      <c r="A33" s="22">
        <v>6</v>
      </c>
      <c r="B33" s="22" t="s">
        <v>123</v>
      </c>
      <c r="C33" s="23" t="s">
        <v>137</v>
      </c>
      <c r="D33" s="22">
        <v>2.5</v>
      </c>
      <c r="E33" s="22">
        <v>2</v>
      </c>
      <c r="F33" s="22">
        <v>5</v>
      </c>
      <c r="G33" s="22" t="s">
        <v>121</v>
      </c>
    </row>
    <row r="34" ht="15.15" spans="1:7">
      <c r="A34" s="22">
        <v>7</v>
      </c>
      <c r="B34" s="22" t="s">
        <v>124</v>
      </c>
      <c r="C34" s="23" t="s">
        <v>138</v>
      </c>
      <c r="D34" s="22">
        <v>0.7</v>
      </c>
      <c r="E34" s="22">
        <v>1</v>
      </c>
      <c r="F34" s="22">
        <v>0.7</v>
      </c>
      <c r="G34" s="23"/>
    </row>
    <row r="35" ht="15.15" spans="1:7">
      <c r="A35" s="22">
        <v>8</v>
      </c>
      <c r="B35" s="22" t="s">
        <v>125</v>
      </c>
      <c r="C35" s="22" t="s">
        <v>139</v>
      </c>
      <c r="D35" s="23">
        <v>1</v>
      </c>
      <c r="E35" s="22">
        <v>1</v>
      </c>
      <c r="F35" s="22">
        <v>0.05</v>
      </c>
      <c r="G35" s="22" t="s">
        <v>126</v>
      </c>
    </row>
    <row r="36" ht="15.15" spans="1:7">
      <c r="A36" s="22">
        <v>9</v>
      </c>
      <c r="B36" s="22" t="s">
        <v>127</v>
      </c>
      <c r="C36" s="22" t="s">
        <v>139</v>
      </c>
      <c r="D36" s="23">
        <v>1</v>
      </c>
      <c r="E36" s="22">
        <v>2</v>
      </c>
      <c r="F36" s="22">
        <v>0.06</v>
      </c>
      <c r="G36" s="22" t="s">
        <v>126</v>
      </c>
    </row>
    <row r="37" ht="15.15" spans="1:7">
      <c r="A37" s="22">
        <v>10</v>
      </c>
      <c r="B37" s="22" t="s">
        <v>128</v>
      </c>
      <c r="C37" s="22" t="s">
        <v>139</v>
      </c>
      <c r="D37" s="23">
        <v>1</v>
      </c>
      <c r="E37" s="22">
        <v>1</v>
      </c>
      <c r="F37" s="22">
        <v>0.07</v>
      </c>
      <c r="G37" s="22" t="s">
        <v>126</v>
      </c>
    </row>
    <row r="38" ht="15.15" spans="1:7">
      <c r="A38" s="22" t="s">
        <v>51</v>
      </c>
      <c r="B38" s="22"/>
      <c r="C38" s="22"/>
      <c r="D38" s="22"/>
      <c r="E38" s="22"/>
      <c r="F38" s="22">
        <v>39.89</v>
      </c>
      <c r="G38" s="22"/>
    </row>
    <row r="39" spans="1:7">
      <c r="A39" s="17"/>
      <c r="G39" s="18"/>
    </row>
    <row r="40" ht="15.15" spans="1:7">
      <c r="A40" s="19" t="s">
        <v>62</v>
      </c>
      <c r="G40" s="18"/>
    </row>
    <row r="41" ht="15.15" spans="1:7">
      <c r="A41" s="20" t="s">
        <v>38</v>
      </c>
      <c r="B41" s="20" t="s">
        <v>39</v>
      </c>
      <c r="C41" s="20" t="s">
        <v>40</v>
      </c>
      <c r="D41" s="20" t="s">
        <v>41</v>
      </c>
      <c r="E41" s="20" t="s">
        <v>42</v>
      </c>
      <c r="F41" s="20" t="s">
        <v>43</v>
      </c>
      <c r="G41" s="20" t="s">
        <v>10</v>
      </c>
    </row>
    <row r="42" ht="15.15" spans="1:7">
      <c r="A42" s="22">
        <v>1</v>
      </c>
      <c r="B42" s="22" t="s">
        <v>140</v>
      </c>
      <c r="C42" s="23" t="s">
        <v>141</v>
      </c>
      <c r="D42" s="22">
        <v>1</v>
      </c>
      <c r="E42" s="22">
        <v>2.02</v>
      </c>
      <c r="F42" s="22">
        <v>38.38</v>
      </c>
      <c r="G42" s="22" t="s">
        <v>121</v>
      </c>
    </row>
    <row r="43" ht="15.15" spans="1:7">
      <c r="A43" s="22">
        <v>2</v>
      </c>
      <c r="B43" s="22" t="s">
        <v>142</v>
      </c>
      <c r="C43" s="23" t="s">
        <v>143</v>
      </c>
      <c r="D43" s="22">
        <v>3</v>
      </c>
      <c r="E43" s="22">
        <v>7</v>
      </c>
      <c r="F43" s="22">
        <v>0.56</v>
      </c>
      <c r="G43" s="23"/>
    </row>
    <row r="44" ht="15.15" spans="1:7">
      <c r="A44" s="22">
        <v>3</v>
      </c>
      <c r="B44" s="22" t="s">
        <v>144</v>
      </c>
      <c r="C44" s="23">
        <v>2</v>
      </c>
      <c r="D44" s="22">
        <v>2</v>
      </c>
      <c r="E44" s="22">
        <v>2</v>
      </c>
      <c r="F44" s="22">
        <v>5</v>
      </c>
      <c r="G44" s="22" t="s">
        <v>121</v>
      </c>
    </row>
    <row r="45" ht="15.15" spans="1:7">
      <c r="A45" s="22">
        <v>4</v>
      </c>
      <c r="B45" s="22" t="s">
        <v>134</v>
      </c>
      <c r="C45" s="22" t="s">
        <v>139</v>
      </c>
      <c r="D45" s="22">
        <v>3</v>
      </c>
      <c r="E45" s="22">
        <v>1</v>
      </c>
      <c r="F45" s="22">
        <v>0.7</v>
      </c>
      <c r="G45" s="23"/>
    </row>
    <row r="46" ht="15.15" spans="1:7">
      <c r="A46" s="22" t="s">
        <v>51</v>
      </c>
      <c r="B46" s="22"/>
      <c r="C46" s="23"/>
      <c r="D46" s="22"/>
      <c r="E46" s="22"/>
      <c r="F46" s="22">
        <v>8.89</v>
      </c>
      <c r="G46" s="23"/>
    </row>
    <row r="47" spans="1:7">
      <c r="A47" s="17"/>
      <c r="G47" s="18"/>
    </row>
    <row r="48" ht="15.15" spans="1:7">
      <c r="A48" s="19" t="s">
        <v>71</v>
      </c>
      <c r="G48" s="18"/>
    </row>
    <row r="49" ht="15.15" spans="1:7">
      <c r="A49" s="20" t="s">
        <v>38</v>
      </c>
      <c r="B49" s="20" t="s">
        <v>72</v>
      </c>
      <c r="C49" s="24" t="s">
        <v>73</v>
      </c>
      <c r="D49" s="25" t="s">
        <v>74</v>
      </c>
      <c r="E49" s="26"/>
      <c r="F49" s="27" t="s">
        <v>10</v>
      </c>
      <c r="G49" s="28"/>
    </row>
    <row r="50" ht="15.15" spans="1:7">
      <c r="A50" s="22">
        <v>1</v>
      </c>
      <c r="B50" s="22" t="s">
        <v>145</v>
      </c>
      <c r="C50" s="23">
        <v>4250</v>
      </c>
      <c r="D50" s="25">
        <v>27.4</v>
      </c>
      <c r="E50" s="26"/>
      <c r="F50" s="29" t="s">
        <v>121</v>
      </c>
      <c r="G50" s="30"/>
    </row>
    <row r="51" ht="15.15" spans="1:7">
      <c r="A51" s="22">
        <v>2</v>
      </c>
      <c r="B51" s="22" t="s">
        <v>146</v>
      </c>
      <c r="C51" s="23">
        <v>5690</v>
      </c>
      <c r="D51" s="25">
        <v>28.7</v>
      </c>
      <c r="E51" s="26"/>
      <c r="F51" s="31"/>
      <c r="G51" s="32"/>
    </row>
    <row r="52" ht="15.15" spans="1:7">
      <c r="A52" s="22" t="s">
        <v>43</v>
      </c>
      <c r="B52" s="23"/>
      <c r="C52" s="22"/>
      <c r="D52" s="25">
        <v>56.1</v>
      </c>
      <c r="E52" s="26"/>
      <c r="F52" s="31"/>
      <c r="G52" s="32"/>
    </row>
    <row r="53" spans="1:7">
      <c r="A53" s="17"/>
      <c r="G53" s="18"/>
    </row>
    <row r="54" ht="15.15" spans="1:7">
      <c r="A54" s="19" t="s">
        <v>81</v>
      </c>
      <c r="G54" s="18"/>
    </row>
    <row r="55" ht="15.15" spans="1:7">
      <c r="A55" s="20" t="s">
        <v>38</v>
      </c>
      <c r="B55" s="20" t="s">
        <v>82</v>
      </c>
      <c r="C55" s="20" t="s">
        <v>83</v>
      </c>
      <c r="D55" s="27" t="s">
        <v>84</v>
      </c>
      <c r="E55" s="28"/>
      <c r="F55" s="20" t="s">
        <v>10</v>
      </c>
      <c r="G55" s="20"/>
    </row>
    <row r="56" ht="15.15" spans="1:7">
      <c r="A56" s="20">
        <v>1</v>
      </c>
      <c r="B56" s="20" t="s">
        <v>147</v>
      </c>
      <c r="C56" s="20" t="s">
        <v>148</v>
      </c>
      <c r="D56" s="33">
        <v>1</v>
      </c>
      <c r="E56" s="34"/>
      <c r="F56" s="20"/>
      <c r="G56" s="20"/>
    </row>
    <row r="57" ht="15.15" spans="1:7">
      <c r="A57" s="20">
        <v>2</v>
      </c>
      <c r="B57" s="20" t="s">
        <v>149</v>
      </c>
      <c r="C57" s="20" t="s">
        <v>150</v>
      </c>
      <c r="D57" s="33">
        <v>2</v>
      </c>
      <c r="E57" s="34"/>
      <c r="F57" s="20"/>
      <c r="G57" s="20"/>
    </row>
    <row r="58" ht="15.15" spans="1:7">
      <c r="A58" s="20" t="s">
        <v>43</v>
      </c>
      <c r="B58" s="24"/>
      <c r="C58" s="20"/>
      <c r="D58" s="33">
        <v>3</v>
      </c>
      <c r="E58" s="34"/>
      <c r="F58" s="20"/>
      <c r="G58" s="20"/>
    </row>
    <row r="59" spans="1:7">
      <c r="A59" s="19"/>
      <c r="B59" s="35"/>
      <c r="C59" s="36"/>
      <c r="D59" s="37"/>
      <c r="E59" s="37"/>
      <c r="F59" s="36"/>
      <c r="G59" s="38"/>
    </row>
    <row r="60" ht="15.15" spans="1:7">
      <c r="A60" s="19" t="s">
        <v>90</v>
      </c>
      <c r="B60" s="21"/>
      <c r="C60" s="39"/>
      <c r="D60" s="21"/>
      <c r="E60" s="21"/>
      <c r="F60" s="21"/>
      <c r="G60" s="18"/>
    </row>
    <row r="61" ht="15.15" spans="1:7">
      <c r="A61" s="20" t="s">
        <v>91</v>
      </c>
      <c r="B61" s="20" t="s">
        <v>37</v>
      </c>
      <c r="C61" s="20" t="s">
        <v>53</v>
      </c>
      <c r="D61" s="27" t="s">
        <v>62</v>
      </c>
      <c r="E61" s="27" t="s">
        <v>71</v>
      </c>
      <c r="F61" s="20" t="s">
        <v>81</v>
      </c>
      <c r="G61" s="40" t="s">
        <v>92</v>
      </c>
    </row>
    <row r="62" ht="15.15" spans="1:8">
      <c r="A62" s="22" t="s">
        <v>93</v>
      </c>
      <c r="B62" s="23">
        <v>39.95</v>
      </c>
      <c r="C62" s="23">
        <v>3.1</v>
      </c>
      <c r="D62" s="31">
        <v>5</v>
      </c>
      <c r="E62" s="33">
        <v>0</v>
      </c>
      <c r="F62" s="20">
        <v>5</v>
      </c>
      <c r="G62" s="41">
        <v>95</v>
      </c>
      <c r="H62" s="21"/>
    </row>
    <row r="63" ht="15.15" spans="1:7">
      <c r="A63" s="22" t="s">
        <v>100</v>
      </c>
      <c r="B63" s="42">
        <v>0.78</v>
      </c>
      <c r="C63" s="43">
        <v>0.0614</v>
      </c>
      <c r="D63" s="44">
        <v>0.0595</v>
      </c>
      <c r="E63" s="45">
        <v>0</v>
      </c>
      <c r="F63" s="46">
        <v>0.0991</v>
      </c>
      <c r="G63" s="47">
        <v>1</v>
      </c>
    </row>
    <row r="64" spans="1:7">
      <c r="A64" s="21"/>
      <c r="B64" s="21"/>
      <c r="C64" s="39"/>
      <c r="D64" s="21"/>
      <c r="E64" s="21"/>
      <c r="F64" s="21"/>
      <c r="G64" s="21"/>
    </row>
    <row r="65" spans="1:7">
      <c r="A65" s="48"/>
      <c r="B65" s="49"/>
      <c r="C65" s="49"/>
      <c r="D65" s="49"/>
      <c r="E65" s="48"/>
      <c r="F65" s="48"/>
      <c r="G65" s="48"/>
    </row>
  </sheetData>
  <mergeCells count="19">
    <mergeCell ref="A1:G1"/>
    <mergeCell ref="B6:D6"/>
    <mergeCell ref="D49:E49"/>
    <mergeCell ref="F49:G49"/>
    <mergeCell ref="D50:E50"/>
    <mergeCell ref="F50:G50"/>
    <mergeCell ref="D51:E51"/>
    <mergeCell ref="F51:G51"/>
    <mergeCell ref="D52:E52"/>
    <mergeCell ref="F52:G52"/>
    <mergeCell ref="D55:E55"/>
    <mergeCell ref="F55:G55"/>
    <mergeCell ref="D56:E56"/>
    <mergeCell ref="F56:G56"/>
    <mergeCell ref="D57:E57"/>
    <mergeCell ref="F57:G57"/>
    <mergeCell ref="D58:E58"/>
    <mergeCell ref="F58:G58"/>
    <mergeCell ref="E2:G6"/>
  </mergeCells>
  <pageMargins left="0.75" right="0.75" top="1" bottom="1" header="0.5" footer="0.5"/>
  <pageSetup paperSize="9" orientation="portrait"/>
  <headerFooter/>
  <ignoredErrors>
    <ignoredError sqref="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格式_汇总</vt:lpstr>
      <vt:lpstr>格式_款号(报价单号)</vt:lpstr>
      <vt:lpstr>汇总</vt:lpstr>
      <vt:lpstr>0995(BJD24030007)</vt:lpstr>
      <vt:lpstr>0998(BJD24030008)</vt:lpstr>
      <vt:lpstr>0995(BJD24030009)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迈的</dc:creator>
  <cp:lastModifiedBy>☀</cp:lastModifiedBy>
  <dcterms:created xsi:type="dcterms:W3CDTF">2024-03-19T03:24:00Z</dcterms:created>
  <dcterms:modified xsi:type="dcterms:W3CDTF">2024-04-11T01:39:21Z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6368397033B94AA5A6758BFAA5757BB4_13</vt:lpwstr>
  </property>
  <property fmtid="{D5CDD505-2E9C-101B-9397-08002B2CF9AE}" pid="3" name="KSOProductBuildVer">
    <vt:lpwstr>2052-12.1.0.16417</vt:lpwstr>
  </property>
</Properties>
</file>