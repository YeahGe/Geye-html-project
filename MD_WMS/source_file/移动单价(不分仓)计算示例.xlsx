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<sst xmlns="http://schemas.openxmlformats.org/spreadsheetml/2006/main" count="62" uniqueCount="28">
  <si>
    <t>物料</t>
  </si>
  <si>
    <t>物料型号</t>
  </si>
  <si>
    <t>颜色</t>
  </si>
  <si>
    <t>数量</t>
  </si>
  <si>
    <t>含税单价</t>
  </si>
  <si>
    <r>
      <rPr>
        <b/>
        <sz val="10"/>
        <color rgb="FF000000"/>
        <rFont val="宋体"/>
        <charset val="134"/>
      </rPr>
      <t>出</t>
    </r>
    <r>
      <rPr>
        <b/>
        <sz val="10"/>
        <color rgb="FF000000"/>
        <rFont val="Calibri"/>
        <charset val="134"/>
      </rPr>
      <t>/</t>
    </r>
    <r>
      <rPr>
        <b/>
        <sz val="10"/>
        <color rgb="FF000000"/>
        <rFont val="宋体"/>
        <charset val="134"/>
      </rPr>
      <t>入库日期</t>
    </r>
  </si>
  <si>
    <t>类型</t>
  </si>
  <si>
    <t>关联单号</t>
  </si>
  <si>
    <t>移前库存
(不分仓)</t>
  </si>
  <si>
    <t>移后库存
(不分仓)</t>
  </si>
  <si>
    <t>移动单价
(不分仓)</t>
  </si>
  <si>
    <t>纸板</t>
  </si>
  <si>
    <t>新T2双折</t>
  </si>
  <si>
    <t>均色</t>
  </si>
  <si>
    <t>采购入库</t>
  </si>
  <si>
    <t>RKD24062503</t>
  </si>
  <si>
    <t>RKD24062502</t>
  </si>
  <si>
    <t>领料出库</t>
  </si>
  <si>
    <t>CKD24062701</t>
  </si>
  <si>
    <t>RKD24062934</t>
  </si>
  <si>
    <t>RKD24072599</t>
  </si>
  <si>
    <t>采购入库(扣除)</t>
  </si>
  <si>
    <t>RKD24072601</t>
  </si>
  <si>
    <t>CKD24062702</t>
  </si>
  <si>
    <t>RKD24072787</t>
  </si>
  <si>
    <t>RKD24081385</t>
  </si>
  <si>
    <t>RKD24081397</t>
  </si>
  <si>
    <r>
      <t>1.此表格为</t>
    </r>
    <r>
      <rPr>
        <b/>
        <sz val="11"/>
        <color rgb="FF000000"/>
        <rFont val="宋体"/>
        <charset val="134"/>
        <scheme val="minor"/>
      </rPr>
      <t>"移前库存(不分仓)"、"移后库存(不分仓)"、"移动单价(不分仓)"</t>
    </r>
    <r>
      <rPr>
        <sz val="11"/>
        <color rgb="FF000000"/>
        <rFont val="宋体"/>
        <charset val="134"/>
        <scheme val="minor"/>
      </rPr>
      <t>字段计算示例
    1.1 表格示例按'操作时间(出/入库时间)'顺序展示，便于描述
    1.2 在[出入库明细]中，以单个SKU为计算维度，无关'属主'与'仓库'
2.</t>
    </r>
    <r>
      <rPr>
        <sz val="11"/>
        <color theme="4" tint="-0.25"/>
        <rFont val="宋体"/>
        <charset val="134"/>
        <scheme val="minor"/>
      </rPr>
      <t>移前库存(不分仓)</t>
    </r>
    <r>
      <rPr>
        <sz val="11"/>
        <color rgb="FF000000"/>
        <rFont val="宋体"/>
        <charset val="134"/>
        <scheme val="minor"/>
      </rPr>
      <t>：取上次相同SKU的</t>
    </r>
    <r>
      <rPr>
        <sz val="11"/>
        <color theme="9" tint="-0.25"/>
        <rFont val="宋体"/>
        <charset val="134"/>
        <scheme val="minor"/>
      </rPr>
      <t>移后库存(不分仓)</t>
    </r>
    <r>
      <rPr>
        <sz val="11"/>
        <color rgb="FF000000"/>
        <rFont val="宋体"/>
        <charset val="134"/>
        <scheme val="minor"/>
      </rPr>
      <t>的值
    2.1 若无历史数据，取0
3.</t>
    </r>
    <r>
      <rPr>
        <sz val="11"/>
        <color theme="9" tint="-0.25"/>
        <rFont val="宋体"/>
        <charset val="134"/>
        <scheme val="minor"/>
      </rPr>
      <t>移后库存(不分仓)</t>
    </r>
    <r>
      <rPr>
        <sz val="11"/>
        <color rgb="FF000000"/>
        <rFont val="宋体"/>
        <charset val="134"/>
        <scheme val="minor"/>
      </rPr>
      <t xml:space="preserve">：计算公式如下
    3.1 </t>
    </r>
    <r>
      <rPr>
        <sz val="11"/>
        <color theme="9" tint="-0.25"/>
        <rFont val="宋体"/>
        <charset val="134"/>
        <scheme val="minor"/>
      </rPr>
      <t>移后库存(不分仓)</t>
    </r>
    <r>
      <rPr>
        <sz val="11"/>
        <color rgb="FF000000"/>
        <rFont val="宋体"/>
        <charset val="134"/>
        <scheme val="minor"/>
      </rPr>
      <t>=</t>
    </r>
    <r>
      <rPr>
        <sz val="11"/>
        <color theme="4"/>
        <rFont val="宋体"/>
        <charset val="134"/>
        <scheme val="minor"/>
      </rPr>
      <t>本次移前库存(不分仓)</t>
    </r>
    <r>
      <rPr>
        <sz val="11"/>
        <color rgb="FF000000"/>
        <rFont val="宋体"/>
        <charset val="134"/>
        <scheme val="minor"/>
      </rPr>
      <t>+本次数量
4.</t>
    </r>
    <r>
      <rPr>
        <sz val="11"/>
        <color rgb="FFFF0000"/>
        <rFont val="宋体"/>
        <charset val="134"/>
        <scheme val="minor"/>
      </rPr>
      <t>移动单价(不分仓)</t>
    </r>
    <r>
      <rPr>
        <sz val="11"/>
        <color rgb="FF000000"/>
        <rFont val="宋体"/>
        <charset val="134"/>
        <scheme val="minor"/>
      </rPr>
      <t>：计算跟随</t>
    </r>
    <r>
      <rPr>
        <sz val="11"/>
        <color theme="9" tint="-0.25"/>
        <rFont val="宋体"/>
        <charset val="134"/>
        <scheme val="minor"/>
      </rPr>
      <t>移后库存(不分仓)</t>
    </r>
    <r>
      <rPr>
        <sz val="11"/>
        <color rgb="FF000000"/>
        <rFont val="宋体"/>
        <charset val="134"/>
        <scheme val="minor"/>
      </rPr>
      <t xml:space="preserve">的值
    4.1 </t>
    </r>
    <r>
      <rPr>
        <sz val="11"/>
        <color theme="9" tint="-0.25"/>
        <rFont val="宋体"/>
        <charset val="134"/>
        <scheme val="minor"/>
      </rPr>
      <t>移后库存(不分仓)</t>
    </r>
    <r>
      <rPr>
        <sz val="11"/>
        <color rgb="FF000000"/>
        <rFont val="宋体"/>
        <charset val="134"/>
        <scheme val="minor"/>
      </rPr>
      <t>== 0 ,取上次数据中</t>
    </r>
    <r>
      <rPr>
        <sz val="11"/>
        <color rgb="FFFF0000"/>
        <rFont val="宋体"/>
        <charset val="134"/>
        <scheme val="minor"/>
      </rPr>
      <t>移动单价(不分仓)</t>
    </r>
    <r>
      <rPr>
        <sz val="11"/>
        <color rgb="FF000000"/>
        <rFont val="宋体"/>
        <charset val="134"/>
        <scheme val="minor"/>
      </rPr>
      <t xml:space="preserve">的值
    4.2 </t>
    </r>
    <r>
      <rPr>
        <sz val="11"/>
        <color theme="9" tint="-0.25"/>
        <rFont val="宋体"/>
        <charset val="134"/>
        <scheme val="minor"/>
      </rPr>
      <t>移后库存(不分仓)</t>
    </r>
    <r>
      <rPr>
        <sz val="11"/>
        <color rgb="FF000000"/>
        <rFont val="宋体"/>
        <charset val="134"/>
        <scheme val="minor"/>
      </rPr>
      <t xml:space="preserve">!= 0 ,按下述公式进行计算
        4.2.1 </t>
    </r>
    <r>
      <rPr>
        <sz val="11"/>
        <color rgb="FFFF0000"/>
        <rFont val="宋体"/>
        <charset val="134"/>
        <scheme val="minor"/>
      </rPr>
      <t>本次移动单价(不分仓)</t>
    </r>
    <r>
      <rPr>
        <sz val="11"/>
        <color rgb="FF000000"/>
        <rFont val="宋体"/>
        <charset val="134"/>
        <scheme val="minor"/>
      </rPr>
      <t>=(</t>
    </r>
    <r>
      <rPr>
        <sz val="11"/>
        <color theme="8"/>
        <rFont val="宋体"/>
        <charset val="134"/>
        <scheme val="minor"/>
      </rPr>
      <t>本次移前库存(不分仓)</t>
    </r>
    <r>
      <rPr>
        <sz val="11"/>
        <color rgb="FF000000"/>
        <rFont val="宋体"/>
        <charset val="134"/>
        <scheme val="minor"/>
      </rPr>
      <t>*</t>
    </r>
    <r>
      <rPr>
        <b/>
        <sz val="11"/>
        <color rgb="FFC00000"/>
        <rFont val="宋体"/>
        <charset val="134"/>
        <scheme val="minor"/>
      </rPr>
      <t>上次</t>
    </r>
    <r>
      <rPr>
        <sz val="11"/>
        <color rgb="FFC00000"/>
        <rFont val="宋体"/>
        <charset val="134"/>
        <scheme val="minor"/>
      </rPr>
      <t>移动单价(不分仓)</t>
    </r>
    <r>
      <rPr>
        <sz val="11"/>
        <color rgb="FF000000"/>
        <rFont val="宋体"/>
        <charset val="134"/>
        <scheme val="minor"/>
      </rPr>
      <t>+本次数量*本次含税单价)/</t>
    </r>
    <r>
      <rPr>
        <sz val="11"/>
        <color theme="4"/>
        <rFont val="宋体"/>
        <charset val="134"/>
        <scheme val="minor"/>
      </rPr>
      <t>(本次移前库存(不分仓)</t>
    </r>
    <r>
      <rPr>
        <sz val="11"/>
        <color rgb="FF000000"/>
        <rFont val="宋体"/>
        <charset val="134"/>
        <scheme val="minor"/>
      </rPr>
      <t>+本次数量)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</si>
</sst>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indexed="8"/>
      <name val="宋体"/>
      <charset val="134"/>
      <scheme val="minor"/>
    </font>
    <font>
      <sz val="11"/>
      <color rgb="FF7030A0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indexed="8"/>
      <name val="Calibri"/>
      <charset val="134"/>
    </font>
    <font>
      <b/>
      <sz val="10"/>
      <color theme="5" tint="-0.25"/>
      <name val="宋体"/>
      <charset val="134"/>
    </font>
    <font>
      <sz val="11"/>
      <color rgb="FF000000"/>
      <name val="宋体"/>
      <charset val="134"/>
      <scheme val="minor"/>
    </font>
    <font>
      <b/>
      <sz val="10"/>
      <color theme="4"/>
      <name val="宋体"/>
      <charset val="134"/>
    </font>
    <font>
      <b/>
      <sz val="10"/>
      <color theme="9" tint="-0.25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Calibri"/>
      <charset val="134"/>
    </font>
    <font>
      <b/>
      <sz val="11"/>
      <color rgb="FF000000"/>
      <name val="宋体"/>
      <charset val="134"/>
      <scheme val="minor"/>
    </font>
    <font>
      <sz val="11"/>
      <color theme="4" tint="-0.25"/>
      <name val="宋体"/>
      <charset val="134"/>
      <scheme val="minor"/>
    </font>
    <font>
      <sz val="11"/>
      <color theme="9" tint="-0.25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8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color rgb="FFC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22" fontId="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22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zoomScale="130" zoomScaleNormal="130" workbookViewId="0">
      <selection activeCell="L8" sqref="L8"/>
    </sheetView>
  </sheetViews>
  <sheetFormatPr defaultColWidth="9" defaultRowHeight="14.4"/>
  <cols>
    <col min="1" max="1" width="6.21296296296296" style="2" customWidth="1"/>
    <col min="2" max="2" width="10.2407407407407" style="2" customWidth="1"/>
    <col min="3" max="3" width="7.88888888888889" style="2" customWidth="1"/>
    <col min="4" max="4" width="7.41666666666667" style="2" customWidth="1"/>
    <col min="5" max="5" width="11.0555555555556" style="2" customWidth="1"/>
    <col min="6" max="6" width="17.6481481481481" style="3" customWidth="1"/>
    <col min="7" max="7" width="12" style="2" customWidth="1"/>
    <col min="8" max="8" width="13.0740740740741" style="2" customWidth="1"/>
    <col min="9" max="9" width="10.4166666666667" style="2" customWidth="1"/>
    <col min="10" max="10" width="9.12037037037037" style="2" customWidth="1"/>
    <col min="11" max="11" width="10.537037037037" style="2" customWidth="1"/>
    <col min="12" max="16384" width="9" style="2"/>
  </cols>
  <sheetData>
    <row r="1" ht="32" customHeight="1" spans="1:11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4" t="s">
        <v>5</v>
      </c>
      <c r="G1" s="4" t="s">
        <v>6</v>
      </c>
      <c r="H1" s="5" t="s">
        <v>7</v>
      </c>
      <c r="I1" s="13" t="s">
        <v>8</v>
      </c>
      <c r="J1" s="14" t="s">
        <v>9</v>
      </c>
      <c r="K1" s="15" t="s">
        <v>10</v>
      </c>
    </row>
    <row r="2" ht="19" customHeight="1" spans="1:11">
      <c r="A2" s="7" t="s">
        <v>11</v>
      </c>
      <c r="B2" s="7" t="s">
        <v>12</v>
      </c>
      <c r="C2" s="7" t="s">
        <v>13</v>
      </c>
      <c r="D2" s="7">
        <v>20000</v>
      </c>
      <c r="E2" s="7">
        <v>0.205</v>
      </c>
      <c r="F2" s="8">
        <v>45458</v>
      </c>
      <c r="G2" s="7" t="s">
        <v>14</v>
      </c>
      <c r="H2" s="7" t="s">
        <v>15</v>
      </c>
      <c r="I2" s="16">
        <v>0</v>
      </c>
      <c r="J2" s="7">
        <f t="shared" ref="J2:J11" si="0">I2+D2</f>
        <v>20000</v>
      </c>
      <c r="K2" s="7">
        <f>E2</f>
        <v>0.205</v>
      </c>
    </row>
    <row r="3" ht="19" customHeight="1" spans="1:11">
      <c r="A3" s="7" t="s">
        <v>11</v>
      </c>
      <c r="B3" s="7" t="s">
        <v>12</v>
      </c>
      <c r="C3" s="7" t="s">
        <v>13</v>
      </c>
      <c r="D3" s="7">
        <v>10000</v>
      </c>
      <c r="E3" s="7">
        <v>0.204</v>
      </c>
      <c r="F3" s="8">
        <v>45458</v>
      </c>
      <c r="G3" s="7" t="s">
        <v>14</v>
      </c>
      <c r="H3" s="7" t="s">
        <v>16</v>
      </c>
      <c r="I3" s="16">
        <f>J2</f>
        <v>20000</v>
      </c>
      <c r="J3" s="7">
        <f t="shared" si="0"/>
        <v>30000</v>
      </c>
      <c r="K3" s="7">
        <f t="shared" ref="K3:K7" si="1">(I3*K2+D3*E3)/(I3+D3)</f>
        <v>0.204666666666667</v>
      </c>
    </row>
    <row r="4" s="1" customFormat="1" ht="19" customHeight="1" spans="1:11">
      <c r="A4" s="9" t="s">
        <v>11</v>
      </c>
      <c r="B4" s="9" t="s">
        <v>12</v>
      </c>
      <c r="C4" s="9" t="s">
        <v>13</v>
      </c>
      <c r="D4" s="9">
        <v>-16000</v>
      </c>
      <c r="E4" s="9">
        <f>K3</f>
        <v>0.204666666666667</v>
      </c>
      <c r="F4" s="10">
        <v>45460</v>
      </c>
      <c r="G4" s="9" t="s">
        <v>17</v>
      </c>
      <c r="H4" s="9" t="s">
        <v>18</v>
      </c>
      <c r="I4" s="9">
        <f>J3</f>
        <v>30000</v>
      </c>
      <c r="J4" s="9">
        <f t="shared" si="0"/>
        <v>14000</v>
      </c>
      <c r="K4" s="9">
        <f t="shared" si="1"/>
        <v>0.204666666666667</v>
      </c>
    </row>
    <row r="5" ht="19" customHeight="1" spans="1:11">
      <c r="A5" s="7" t="s">
        <v>11</v>
      </c>
      <c r="B5" s="7" t="s">
        <v>12</v>
      </c>
      <c r="C5" s="7" t="s">
        <v>13</v>
      </c>
      <c r="D5" s="7">
        <v>20000</v>
      </c>
      <c r="E5" s="7">
        <v>0.195</v>
      </c>
      <c r="F5" s="8">
        <v>45468</v>
      </c>
      <c r="G5" s="7" t="s">
        <v>14</v>
      </c>
      <c r="H5" s="7" t="s">
        <v>19</v>
      </c>
      <c r="I5" s="16">
        <f>J4</f>
        <v>14000</v>
      </c>
      <c r="J5" s="7">
        <f t="shared" si="0"/>
        <v>34000</v>
      </c>
      <c r="K5" s="7">
        <f t="shared" si="1"/>
        <v>0.198980392156863</v>
      </c>
    </row>
    <row r="6" ht="19" customHeight="1" spans="1:11">
      <c r="A6" s="7" t="s">
        <v>11</v>
      </c>
      <c r="B6" s="7" t="s">
        <v>12</v>
      </c>
      <c r="C6" s="7" t="s">
        <v>13</v>
      </c>
      <c r="D6" s="7">
        <v>10000</v>
      </c>
      <c r="E6" s="7">
        <v>0.205</v>
      </c>
      <c r="F6" s="8">
        <v>45494</v>
      </c>
      <c r="G6" s="7" t="s">
        <v>14</v>
      </c>
      <c r="H6" s="7" t="s">
        <v>20</v>
      </c>
      <c r="I6" s="16">
        <f t="shared" ref="I6:I11" si="2">J5</f>
        <v>34000</v>
      </c>
      <c r="J6" s="7">
        <f t="shared" si="0"/>
        <v>44000</v>
      </c>
      <c r="K6" s="7">
        <f t="shared" si="1"/>
        <v>0.200348484848485</v>
      </c>
    </row>
    <row r="7" ht="19" customHeight="1" spans="1:11">
      <c r="A7" s="7" t="s">
        <v>11</v>
      </c>
      <c r="B7" s="7" t="s">
        <v>12</v>
      </c>
      <c r="C7" s="7" t="s">
        <v>13</v>
      </c>
      <c r="D7" s="7">
        <v>-2000</v>
      </c>
      <c r="E7" s="7">
        <v>0.205</v>
      </c>
      <c r="F7" s="8">
        <v>45494.3333333333</v>
      </c>
      <c r="G7" s="7" t="s">
        <v>21</v>
      </c>
      <c r="H7" s="7" t="s">
        <v>22</v>
      </c>
      <c r="I7" s="16">
        <f t="shared" si="2"/>
        <v>44000</v>
      </c>
      <c r="J7" s="7">
        <f t="shared" si="0"/>
        <v>42000</v>
      </c>
      <c r="K7" s="7">
        <f t="shared" si="1"/>
        <v>0.200126984126984</v>
      </c>
    </row>
    <row r="8" s="1" customFormat="1" ht="19" customHeight="1" spans="1:11">
      <c r="A8" s="9" t="s">
        <v>11</v>
      </c>
      <c r="B8" s="9" t="s">
        <v>12</v>
      </c>
      <c r="C8" s="9" t="s">
        <v>13</v>
      </c>
      <c r="D8" s="9">
        <v>-42000</v>
      </c>
      <c r="E8" s="9">
        <f>K7</f>
        <v>0.200126984126984</v>
      </c>
      <c r="F8" s="10">
        <v>45465</v>
      </c>
      <c r="G8" s="9" t="s">
        <v>17</v>
      </c>
      <c r="H8" s="9" t="s">
        <v>23</v>
      </c>
      <c r="I8" s="9">
        <f t="shared" si="2"/>
        <v>42000</v>
      </c>
      <c r="J8" s="9">
        <f t="shared" si="0"/>
        <v>0</v>
      </c>
      <c r="K8" s="9">
        <f>K7</f>
        <v>0.200126984126984</v>
      </c>
    </row>
    <row r="9" ht="19" customHeight="1" spans="1:11">
      <c r="A9" s="7" t="s">
        <v>11</v>
      </c>
      <c r="B9" s="7" t="s">
        <v>12</v>
      </c>
      <c r="C9" s="7" t="s">
        <v>13</v>
      </c>
      <c r="D9" s="7">
        <v>20000</v>
      </c>
      <c r="E9" s="7">
        <v>0.205</v>
      </c>
      <c r="F9" s="8">
        <v>45498</v>
      </c>
      <c r="G9" s="7" t="s">
        <v>14</v>
      </c>
      <c r="H9" s="7" t="s">
        <v>24</v>
      </c>
      <c r="I9" s="16">
        <f t="shared" si="2"/>
        <v>0</v>
      </c>
      <c r="J9" s="7">
        <f t="shared" si="0"/>
        <v>20000</v>
      </c>
      <c r="K9" s="7">
        <f>(I9*K8+D9*E9)/(I9+D9)</f>
        <v>0.205</v>
      </c>
    </row>
    <row r="10" ht="19" customHeight="1" spans="1:11">
      <c r="A10" s="7" t="s">
        <v>11</v>
      </c>
      <c r="B10" s="7" t="s">
        <v>12</v>
      </c>
      <c r="C10" s="7" t="s">
        <v>13</v>
      </c>
      <c r="D10" s="7">
        <v>30000</v>
      </c>
      <c r="E10" s="7">
        <v>0.205</v>
      </c>
      <c r="F10" s="8">
        <v>45508</v>
      </c>
      <c r="G10" s="7" t="s">
        <v>14</v>
      </c>
      <c r="H10" s="7" t="s">
        <v>25</v>
      </c>
      <c r="I10" s="16">
        <f t="shared" si="2"/>
        <v>20000</v>
      </c>
      <c r="J10" s="7">
        <f t="shared" si="0"/>
        <v>50000</v>
      </c>
      <c r="K10" s="7">
        <f>(I10*K9+D10*E10)/(I10+D10)</f>
        <v>0.205</v>
      </c>
    </row>
    <row r="11" ht="19" customHeight="1" spans="1:11">
      <c r="A11" s="7" t="s">
        <v>11</v>
      </c>
      <c r="B11" s="7" t="s">
        <v>12</v>
      </c>
      <c r="C11" s="7" t="s">
        <v>13</v>
      </c>
      <c r="D11" s="7">
        <v>50000</v>
      </c>
      <c r="E11" s="7">
        <v>0.204</v>
      </c>
      <c r="F11" s="8">
        <v>45513</v>
      </c>
      <c r="G11" s="7" t="s">
        <v>14</v>
      </c>
      <c r="H11" s="7" t="s">
        <v>26</v>
      </c>
      <c r="I11" s="16">
        <f t="shared" si="2"/>
        <v>50000</v>
      </c>
      <c r="J11" s="7">
        <f t="shared" si="0"/>
        <v>100000</v>
      </c>
      <c r="K11" s="7">
        <f>(I11*K10+D11*E11)/(I11+D11)</f>
        <v>0.2045</v>
      </c>
    </row>
    <row r="13" ht="192" customHeight="1" spans="1:11">
      <c r="A13" s="11" t="s">
        <v>27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</sheetData>
  <mergeCells count="1">
    <mergeCell ref="A13:K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2024-09-13T07:30:00Z</dcterms:created>
  <dcterms:modified xsi:type="dcterms:W3CDTF">2024-09-18T07:10:06Z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B69BD4855A20489FBDB23DA307D4C925_12</vt:lpwstr>
  </property>
  <property fmtid="{D5CDD505-2E9C-101B-9397-08002B2CF9AE}" pid="3" name="KSOProductBuildVer">
    <vt:lpwstr>2052-12.1.0.17857</vt:lpwstr>
  </property>
</Properties>
</file>